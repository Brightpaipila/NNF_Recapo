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Work\RECAPO\Code Base\NNF_Recapo\data\"/>
    </mc:Choice>
  </mc:AlternateContent>
  <bookViews>
    <workbookView xWindow="0" yWindow="0" windowWidth="20460" windowHeight="7470"/>
  </bookViews>
  <sheets>
    <sheet name="Dashboard" sheetId="1" r:id="rId1"/>
    <sheet name="Collected" sheetId="2" r:id="rId2"/>
  </sheets>
  <calcPr calcId="162913"/>
</workbook>
</file>

<file path=xl/calcChain.xml><?xml version="1.0" encoding="utf-8"?>
<calcChain xmlns="http://schemas.openxmlformats.org/spreadsheetml/2006/main">
  <c r="A3" i="1" l="1"/>
  <c r="A4" i="1"/>
  <c r="A5" i="1"/>
  <c r="A2" i="1"/>
  <c r="A4" i="2"/>
  <c r="A5" i="2"/>
  <c r="A3" i="2" l="1"/>
  <c r="A2" i="2"/>
  <c r="E3" i="1" l="1"/>
  <c r="E2" i="1"/>
</calcChain>
</file>

<file path=xl/sharedStrings.xml><?xml version="1.0" encoding="utf-8"?>
<sst xmlns="http://schemas.openxmlformats.org/spreadsheetml/2006/main" count="10" uniqueCount="8">
  <si>
    <t>Db id</t>
  </si>
  <si>
    <t>Sales product</t>
  </si>
  <si>
    <t>MySol NEO 2</t>
  </si>
  <si>
    <t>Day</t>
  </si>
  <si>
    <t>Difference_Outstanding</t>
  </si>
  <si>
    <t>Outstanding</t>
  </si>
  <si>
    <t>Collected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</si>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</sst>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8" formatCode="&quot;MK&quot;#,##0.00;[Red]\-&quot;MK&quot;#,##0.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8" fontId="0" fillId="0" borderId="0" xfId="0" applyNumberFormat="1" applyAlignment="1">
      <alignment horizontal="center"/>
    </xf>
    <xf numFmtId="0" fontId="0" fillId="33" borderId="0" xfId="0" applyFill="1" applyAlignment="1">
      <alignment horizontal="center"/>
    </xf>
    <xf numFmtId="14" fontId="0" fillId="33" borderId="0" xfId="0" applyNumberFormat="1" applyFill="1" applyAlignment="1">
      <alignment horizontal="center"/>
    </xf>
    <xf numFmtId="8" fontId="0" fillId="33" borderId="0" xfId="0" applyNumberFormat="1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0">
    <dxf>
      <numFmt numFmtId="12" formatCode="&quot;MK&quot;#,##0.00;[Red]\-&quot;MK&quot;#,##0.00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MK&quot;#,##0.00;[Red]\-&quot;MK&quot;#,##0.00"/>
      <alignment horizontal="center" vertical="bottom" textRotation="0" wrapText="0" indent="0" justifyLastLine="0" shrinkToFit="0" readingOrder="0"/>
    </dxf>
    <dxf>
      <numFmt numFmtId="12" formatCode="&quot;MK&quot;#,##0.00;[Red]\-&quot;MK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" displayName="Table1" ref="A1:E2203" totalsRowShown="0" headerRowDxfId="9" dataDxfId="8">
  <autoFilter ref="A1:E2203"/>
  <tableColumns count="5">
    <tableColumn id="1" name="Db id" dataDxfId="7"/>
    <tableColumn id="22" name="Day" dataDxfId="6"/>
    <tableColumn id="3" name="Sales product" dataDxfId="5"/>
    <tableColumn id="2" name="Outstanding" dataDxfId="4"/>
    <tableColumn id="31" name="Difference_Outstanding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3" name="Table3" displayName="Table3" ref="A1:C5" totalsRowShown="0">
  <autoFilter ref="A1:C5"/>
  <tableColumns count="3">
    <tableColumn id="1" name="ID" dataDxfId="2">
      <calculatedColumnFormula>ROW()-ROW(Table1[#Headers])</calculatedColumnFormula>
    </tableColumn>
    <tableColumn id="2" name="Day" dataDxfId="1"/>
    <tableColumn id="3" name="Collected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tabSelected="1" workbookViewId="0">
      <selection activeCell="C7" sqref="C7"/>
    </sheetView>
  </sheetViews>
  <sheetFormatPr defaultColWidth="29.7109375" defaultRowHeight="15" x14ac:dyDescent="0.25"/>
  <cols>
    <col min="1" max="3" width="29.7109375" style="1"/>
    <col min="4" max="5" width="29.7109375" style="3"/>
    <col min="6" max="16384" width="29.7109375" style="1"/>
  </cols>
  <sheetData>
    <row r="1" spans="1:5" x14ac:dyDescent="0.25">
      <c r="A1" s="1" t="s">
        <v>0</v>
      </c>
      <c r="B1" s="1" t="s">
        <v>3</v>
      </c>
      <c r="C1" s="1" t="s">
        <v>1</v>
      </c>
      <c r="D1" s="3" t="s">
        <v>5</v>
      </c>
      <c r="E1" s="3" t="s">
        <v>4</v>
      </c>
    </row>
    <row r="2" spans="1:5" x14ac:dyDescent="0.25">
      <c r="A2" s="1">
        <f>ROW()-ROW(Table1[#Headers])</f>
        <v>1</v>
      </c>
      <c r="B2" s="2">
        <v>46154</v>
      </c>
      <c r="C2" s="1" t="s">
        <v>2</v>
      </c>
      <c r="D2" s="3">
        <v>113539479</v>
      </c>
      <c r="E2" s="3">
        <f ca="1">IFERROR(OFFSET(Table1[[#This Row],[Outstanding]],-1,0) - Table1[[#This Row],[Outstanding]], 0)</f>
        <v>0</v>
      </c>
    </row>
    <row r="3" spans="1:5" x14ac:dyDescent="0.25">
      <c r="A3" s="1">
        <f>ROW()-ROW(Table1[#Headers])</f>
        <v>2</v>
      </c>
      <c r="B3" s="2">
        <v>46155</v>
      </c>
      <c r="C3" s="1" t="s">
        <v>2</v>
      </c>
      <c r="D3" s="3">
        <v>113036646</v>
      </c>
      <c r="E3" s="3">
        <f ca="1">IFERROR(OFFSET(Table1[[#This Row],[Outstanding]],-1,0) - Table1[[#This Row],[Outstanding]], 0)</f>
        <v>502833</v>
      </c>
    </row>
    <row r="4" spans="1:5" x14ac:dyDescent="0.25">
      <c r="A4" s="4">
        <f>ROW()-ROW(Table1[#Headers])</f>
        <v>3</v>
      </c>
      <c r="B4" s="5">
        <v>46156</v>
      </c>
      <c r="C4" s="4"/>
      <c r="D4" s="6"/>
      <c r="E4" s="6"/>
    </row>
    <row r="5" spans="1:5" x14ac:dyDescent="0.25">
      <c r="A5" s="1">
        <f>ROW()-ROW(Table1[#Headers])</f>
        <v>4</v>
      </c>
      <c r="B5" s="2">
        <v>46157</v>
      </c>
    </row>
    <row r="6" spans="1:5" x14ac:dyDescent="0.25">
      <c r="B6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selection activeCell="A4" sqref="A4:C4"/>
    </sheetView>
  </sheetViews>
  <sheetFormatPr defaultRowHeight="15" x14ac:dyDescent="0.25"/>
  <cols>
    <col min="1" max="2" width="33" style="1" customWidth="1"/>
    <col min="3" max="3" width="33" style="3" customWidth="1"/>
    <col min="5" max="5" width="9.140625" customWidth="1"/>
  </cols>
  <sheetData>
    <row r="1" spans="1:3" x14ac:dyDescent="0.25">
      <c r="A1" s="1" t="s">
        <v>7</v>
      </c>
      <c r="B1" s="1" t="s">
        <v>3</v>
      </c>
      <c r="C1" s="3" t="s">
        <v>6</v>
      </c>
    </row>
    <row r="2" spans="1:3" x14ac:dyDescent="0.25">
      <c r="A2" s="1">
        <f>ROW()-ROW(Table1[#Headers])</f>
        <v>1</v>
      </c>
      <c r="B2" s="2">
        <v>46154</v>
      </c>
      <c r="C2" s="3">
        <v>331600</v>
      </c>
    </row>
    <row r="3" spans="1:3" x14ac:dyDescent="0.25">
      <c r="A3" s="1">
        <f>ROW()-ROW(Table1[#Headers])</f>
        <v>2</v>
      </c>
      <c r="B3" s="2">
        <v>46155</v>
      </c>
      <c r="C3" s="3">
        <v>213600</v>
      </c>
    </row>
    <row r="4" spans="1:3" x14ac:dyDescent="0.25">
      <c r="A4" s="4">
        <f>ROW()-ROW(Table1[#Headers])</f>
        <v>3</v>
      </c>
      <c r="B4" s="5">
        <v>46156</v>
      </c>
      <c r="C4" s="6"/>
    </row>
    <row r="5" spans="1:3" x14ac:dyDescent="0.25">
      <c r="A5" s="1">
        <f>ROW()-ROW(Table1[#Headers])</f>
        <v>4</v>
      </c>
      <c r="B5" s="2">
        <v>46157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Dashboard</vt:lpstr>
      <vt:lpstr>Collected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Bright paipila</dc:creator>
  <cp:lastModifiedBy>Bright paipila</cp:lastModifiedBy>
  <dcterms:created xsi:type="dcterms:W3CDTF">2026-05-13T06:57:42Z</dcterms:created>
  <dcterms:modified xsi:type="dcterms:W3CDTF">2026-05-15T07:19:55Z</dcterms:modified>
</cp:coreProperties>
</file>