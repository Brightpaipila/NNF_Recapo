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Work\RECAPO\Code Base\NNF_Recapo\data\"/>
    </mc:Choice>
  </mc:AlternateContent>
  <bookViews>
    <workbookView xWindow="0" yWindow="0" windowWidth="20460" windowHeight="7470"/>
  </bookViews>
  <sheets>
    <sheet name="Dashboard" sheetId="1" r:id="rId1"/>
    <sheet name="Collected" sheetId="2" r:id="rId2"/>
    <sheet name="PIVOT" sheetId="3" r:id="rId3"/>
    <sheet name="DASH" sheetId="4" r:id="rId4"/>
  </sheets>
  <definedNames>
    <definedName name="_xlcn.WorksheetConnection_Daily_Out_Standing.xlsxTable11" hidden="1">Table1[]</definedName>
    <definedName name="Slicer_Day">#N/A</definedName>
  </definedNames>
  <calcPr calcId="162913"/>
  <pivotCaches>
    <pivotCache cacheId="178" r:id="rId5"/>
    <pivotCache cacheId="181" r:id="rId6"/>
    <pivotCache cacheId="184" r:id="rId7"/>
    <pivotCache cacheId="187" r:id="rId8"/>
  </pivotCaches>
  <extLst>
    <ext xmlns:x14="http://schemas.microsoft.com/office/spreadsheetml/2009/9/main" uri="{876F7934-8845-4945-9796-88D515C7AA90}">
      <x14:pivotCaches>
        <pivotCache cacheId="57"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Daily_Out_Standing.xlsx!Table1"/>
        </x15:modelTables>
      </x15:dataModel>
    </ext>
  </extLst>
</workbook>
</file>

<file path=xl/calcChain.xml><?xml version="1.0" encoding="utf-8"?>
<calcChain xmlns="http://schemas.openxmlformats.org/spreadsheetml/2006/main">
  <c r="F9" i="1" l="1"/>
  <c r="E9" i="1"/>
  <c r="F8" i="1"/>
  <c r="F7" i="1"/>
  <c r="E8" i="1"/>
  <c r="E7" i="1"/>
  <c r="E6" i="1"/>
  <c r="A6" i="1" l="1"/>
  <c r="E5" i="1" l="1"/>
  <c r="F6" i="1" s="1"/>
  <c r="A3" i="1" l="1"/>
  <c r="A4" i="1"/>
  <c r="A5" i="1"/>
  <c r="A2" i="1"/>
  <c r="A4" i="2"/>
  <c r="A5" i="2"/>
  <c r="A3" i="2" l="1"/>
  <c r="A2" i="2"/>
  <c r="E3" i="1" l="1"/>
  <c r="F5" i="1" s="1"/>
  <c r="E2" i="1"/>
  <c r="F3" i="1" l="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ily_Out_Standing.xlsx!Table1" type="102" refreshedVersion="6" minRefreshableVersion="5">
    <extLst>
      <ext xmlns:x15="http://schemas.microsoft.com/office/spreadsheetml/2010/11/main" uri="{DE250136-89BD-433C-8126-D09CA5730AF9}">
        <x15:connection id="Table1" autoDelete="1">
          <x15:rangePr sourceName="_xlcn.WorksheetConnection_Daily_Out_Standing.xlsxTable11"/>
        </x15:connection>
      </ext>
    </extLst>
  </connection>
</connections>
</file>

<file path=xl/sharedStrings.xml><?xml version="1.0" encoding="utf-8"?>
<sst xmlns="http://schemas.openxmlformats.org/spreadsheetml/2006/main" count="31" uniqueCount="14">
  <si>
    <t>Db id</t>
  </si>
  <si>
    <t>Sales product</t>
  </si>
  <si>
    <t>MySol NEO 2</t>
  </si>
  <si>
    <t>Day</t>
  </si>
  <si>
    <t>Difference_Outstanding</t>
  </si>
  <si>
    <t>Outstanding</t>
  </si>
  <si>
    <t>Collected</t>
  </si>
  <si>
    <t>ID</t>
  </si>
  <si>
    <t>Row Labels</t>
  </si>
  <si>
    <t>Grand Total</t>
  </si>
  <si>
    <t>Sum of Outstanding</t>
  </si>
  <si>
    <t>Sum of Difference_Outstanding</t>
  </si>
  <si>
    <t>Difference_Rise</t>
  </si>
  <si>
    <t>Sum of Difference_Rise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</si>
</sst>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quot;MK&quot;#,##0.00;[Red]\-&quot;MK&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0" fontId="0" fillId="33" borderId="0" xfId="0" applyFill="1" applyAlignment="1">
      <alignment horizontal="center"/>
    </xf>
    <xf numFmtId="14" fontId="0" fillId="33" borderId="0" xfId="0" applyNumberFormat="1" applyFill="1" applyAlignment="1">
      <alignment horizontal="center"/>
    </xf>
    <xf numFmtId="8" fontId="0" fillId="33" borderId="0" xfId="0" applyNumberFormat="1" applyFill="1" applyAlignment="1">
      <alignment horizontal="center"/>
    </xf>
    <xf numFmtId="8" fontId="0" fillId="0" borderId="0" xfId="0" applyNumberFormat="1" applyAlignment="1">
      <alignment horizontal="center" vertical="center" wrapText="1"/>
    </xf>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8"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2" formatCode="&quot;MK&quot;#,##0.00;[Red]\-&quot;MK&quot;#,##0.00"/>
      <alignment horizontal="center" vertical="bottom" textRotation="0" wrapText="0" indent="0" justifyLastLine="0" shrinkToFit="0" readingOrder="0"/>
    </dxf>
    <dxf>
      <numFmt numFmtId="12" formatCode="&quot;MK&quot;#,##0.00;[Red]\-&quot;MK&quot;#,##0.00"/>
      <alignment horizontal="center" vertical="bottom" textRotation="0" wrapText="0" indent="0" justifyLastLine="0" shrinkToFit="0" readingOrder="0"/>
    </dxf>
    <dxf>
      <alignment horizontal="center" vertical="bottom" textRotation="0" wrapText="0" indent="0" justifyLastLine="0" shrinkToFit="0" readingOrder="0"/>
    </dxf>
    <dxf>
      <numFmt numFmtId="12" formatCode="&quot;MK&quot;#,##0.00;[Red]\-&quot;MK&quot;#,##0.0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[Daily_Out_Standing.xlsx]PIVOT!PivotTable4</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PIVOT!$E$21</c:f>
              <c:strCache>
                <c:ptCount val="1"/>
                <c:pt idx="0">
                  <c:v>Total</c:v>
                </c:pt>
              </c:strCache>
            </c:strRef>
          </c:tx>
          <c:spPr>
            <a:solidFill>
              <a:schemeClr val="accent1"/>
            </a:solidFill>
            <a:ln>
              <a:noFill/>
            </a:ln>
            <a:effectLst/>
          </c:spPr>
          <c:invertIfNegative val="0"/>
          <c:cat>
            <c:strRef>
              <c:f>PIVOT!$D$22:$D$29</c:f>
              <c:strCache>
                <c:ptCount val="7"/>
                <c:pt idx="0">
                  <c:v>12/05/2026</c:v>
                </c:pt>
                <c:pt idx="1">
                  <c:v>13/05/2026</c:v>
                </c:pt>
                <c:pt idx="2">
                  <c:v>15/05/2026</c:v>
                </c:pt>
                <c:pt idx="3">
                  <c:v>16/05/2026</c:v>
                </c:pt>
                <c:pt idx="4">
                  <c:v>21/05/2026</c:v>
                </c:pt>
                <c:pt idx="5">
                  <c:v>24/05/2026</c:v>
                </c:pt>
                <c:pt idx="6">
                  <c:v>26/05/2026</c:v>
                </c:pt>
              </c:strCache>
            </c:strRef>
          </c:cat>
          <c:val>
            <c:numRef>
              <c:f>PIVOT!$E$22:$E$29</c:f>
              <c:numCache>
                <c:formatCode>"MK"#,##0.00_);[Red]\("MK"#,##0.00\)</c:formatCode>
                <c:ptCount val="7"/>
                <c:pt idx="0">
                  <c:v>0</c:v>
                </c:pt>
                <c:pt idx="1">
                  <c:v>502833</c:v>
                </c:pt>
                <c:pt idx="2">
                  <c:v>683489</c:v>
                </c:pt>
                <c:pt idx="3">
                  <c:v>993143</c:v>
                </c:pt>
                <c:pt idx="4">
                  <c:v>1097997</c:v>
                </c:pt>
                <c:pt idx="5">
                  <c:v>760757</c:v>
                </c:pt>
                <c:pt idx="6">
                  <c:v>715762</c:v>
                </c:pt>
              </c:numCache>
            </c:numRef>
          </c:val>
          <c:extLst>
            <c:ext xmlns:c16="http://schemas.microsoft.com/office/drawing/2014/chart" uri="{C3380CC4-5D6E-409C-BE32-E72D297353CC}">
              <c16:uniqueId val="{00000000-7F33-46FF-B38F-F0711A3CD3C3}"/>
            </c:ext>
          </c:extLst>
        </c:ser>
        <c:dLbls>
          <c:showLegendKey val="0"/>
          <c:showVal val="0"/>
          <c:showCatName val="0"/>
          <c:showSerName val="0"/>
          <c:showPercent val="0"/>
          <c:showBubbleSize val="0"/>
        </c:dLbls>
        <c:gapWidth val="182"/>
        <c:axId val="1601924495"/>
        <c:axId val="1601921999"/>
      </c:barChart>
      <c:catAx>
        <c:axId val="160192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21999"/>
        <c:crosses val="autoZero"/>
        <c:auto val="1"/>
        <c:lblAlgn val="ctr"/>
        <c:lblOffset val="100"/>
        <c:noMultiLvlLbl val="0"/>
      </c:catAx>
      <c:valAx>
        <c:axId val="1601921999"/>
        <c:scaling>
          <c:orientation val="minMax"/>
        </c:scaling>
        <c:delete val="0"/>
        <c:axPos val="b"/>
        <c:majorGridlines>
          <c:spPr>
            <a:ln w="9525" cap="flat" cmpd="sng" algn="ctr">
              <a:solidFill>
                <a:schemeClr val="tx1">
                  <a:lumMod val="15000"/>
                  <a:lumOff val="85000"/>
                </a:schemeClr>
              </a:solidFill>
              <a:round/>
            </a:ln>
            <a:effectLst/>
          </c:spPr>
        </c:majorGridlines>
        <c:numFmt formatCode="&quot;MK&quot;#,##0.00_);[Red]\(&quot;M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244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[Daily_Out_Standing.xlsx]PIVOT!PivotTable3</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PIVOT!$B$36</c:f>
              <c:strCache>
                <c:ptCount val="1"/>
                <c:pt idx="0">
                  <c:v>Total</c:v>
                </c:pt>
              </c:strCache>
            </c:strRef>
          </c:tx>
          <c:spPr>
            <a:solidFill>
              <a:schemeClr val="accent1"/>
            </a:solidFill>
            <a:ln>
              <a:noFill/>
            </a:ln>
            <a:effectLst/>
          </c:spPr>
          <c:invertIfNegative val="0"/>
          <c:cat>
            <c:strRef>
              <c:f>PIVOT!$A$37:$A$44</c:f>
              <c:strCache>
                <c:ptCount val="7"/>
                <c:pt idx="0">
                  <c:v>12/05/2026</c:v>
                </c:pt>
                <c:pt idx="1">
                  <c:v>13/05/2026</c:v>
                </c:pt>
                <c:pt idx="2">
                  <c:v>15/05/2026</c:v>
                </c:pt>
                <c:pt idx="3">
                  <c:v>16/05/2026</c:v>
                </c:pt>
                <c:pt idx="4">
                  <c:v>21/05/2026</c:v>
                </c:pt>
                <c:pt idx="5">
                  <c:v>24/05/2026</c:v>
                </c:pt>
                <c:pt idx="6">
                  <c:v>26/05/2026</c:v>
                </c:pt>
              </c:strCache>
            </c:strRef>
          </c:cat>
          <c:val>
            <c:numRef>
              <c:f>PIVOT!$B$37:$B$44</c:f>
              <c:numCache>
                <c:formatCode>"MK"#,##0.00_);[Red]\("MK"#,##0.00\)</c:formatCode>
                <c:ptCount val="7"/>
                <c:pt idx="0">
                  <c:v>0</c:v>
                </c:pt>
                <c:pt idx="1">
                  <c:v>502833</c:v>
                </c:pt>
                <c:pt idx="2">
                  <c:v>683489</c:v>
                </c:pt>
                <c:pt idx="3">
                  <c:v>993143</c:v>
                </c:pt>
                <c:pt idx="4">
                  <c:v>1097997</c:v>
                </c:pt>
                <c:pt idx="5">
                  <c:v>760757</c:v>
                </c:pt>
                <c:pt idx="6">
                  <c:v>715762</c:v>
                </c:pt>
              </c:numCache>
            </c:numRef>
          </c:val>
          <c:extLst>
            <c:ext xmlns:c16="http://schemas.microsoft.com/office/drawing/2014/chart" uri="{C3380CC4-5D6E-409C-BE32-E72D297353CC}">
              <c16:uniqueId val="{00000000-16B4-41EF-8AFB-5001CBF3866F}"/>
            </c:ext>
          </c:extLst>
        </c:ser>
        <c:dLbls>
          <c:showLegendKey val="0"/>
          <c:showVal val="0"/>
          <c:showCatName val="0"/>
          <c:showSerName val="0"/>
          <c:showPercent val="0"/>
          <c:showBubbleSize val="0"/>
        </c:dLbls>
        <c:gapWidth val="219"/>
        <c:overlap val="-27"/>
        <c:axId val="483106432"/>
        <c:axId val="483104768"/>
      </c:barChart>
      <c:catAx>
        <c:axId val="48310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04768"/>
        <c:crosses val="autoZero"/>
        <c:auto val="1"/>
        <c:lblAlgn val="ctr"/>
        <c:lblOffset val="100"/>
        <c:noMultiLvlLbl val="0"/>
      </c:catAx>
      <c:valAx>
        <c:axId val="483104768"/>
        <c:scaling>
          <c:orientation val="minMax"/>
        </c:scaling>
        <c:delete val="0"/>
        <c:axPos val="l"/>
        <c:majorGridlines>
          <c:spPr>
            <a:ln w="9525" cap="flat" cmpd="sng" algn="ctr">
              <a:solidFill>
                <a:schemeClr val="tx1">
                  <a:lumMod val="15000"/>
                  <a:lumOff val="85000"/>
                </a:schemeClr>
              </a:solidFill>
              <a:round/>
            </a:ln>
            <a:effectLst/>
          </c:spPr>
        </c:majorGridlines>
        <c:numFmt formatCode="&quot;MK&quot;#,##0.00_);[Red]\(&quot;M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06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[Daily_Out_Standing.xlsx]PIVOT!PivotTable1</c:name>
    <c:fmtId val="2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PIVOT!$B$20</c:f>
              <c:strCache>
                <c:ptCount val="1"/>
                <c:pt idx="0">
                  <c:v>Total</c:v>
                </c:pt>
              </c:strCache>
            </c:strRef>
          </c:tx>
          <c:spPr>
            <a:ln w="28575" cap="rnd">
              <a:solidFill>
                <a:schemeClr val="accent1"/>
              </a:solidFill>
              <a:round/>
            </a:ln>
            <a:effectLst/>
          </c:spPr>
          <c:marker>
            <c:symbol val="none"/>
          </c:marker>
          <c:cat>
            <c:strRef>
              <c:f>PIVOT!$A$21:$A$28</c:f>
              <c:strCache>
                <c:ptCount val="7"/>
                <c:pt idx="0">
                  <c:v>12/05/2026</c:v>
                </c:pt>
                <c:pt idx="1">
                  <c:v>13/05/2026</c:v>
                </c:pt>
                <c:pt idx="2">
                  <c:v>15/05/2026</c:v>
                </c:pt>
                <c:pt idx="3">
                  <c:v>16/05/2026</c:v>
                </c:pt>
                <c:pt idx="4">
                  <c:v>21/05/2026</c:v>
                </c:pt>
                <c:pt idx="5">
                  <c:v>24/05/2026</c:v>
                </c:pt>
                <c:pt idx="6">
                  <c:v>26/05/2026</c:v>
                </c:pt>
              </c:strCache>
            </c:strRef>
          </c:cat>
          <c:val>
            <c:numRef>
              <c:f>PIVOT!$B$21:$B$28</c:f>
              <c:numCache>
                <c:formatCode>"MK"#,##0.00_);[Red]\("MK"#,##0.00\)</c:formatCode>
                <c:ptCount val="7"/>
                <c:pt idx="0">
                  <c:v>0</c:v>
                </c:pt>
                <c:pt idx="1">
                  <c:v>502833</c:v>
                </c:pt>
                <c:pt idx="2">
                  <c:v>180656</c:v>
                </c:pt>
                <c:pt idx="3">
                  <c:v>309654</c:v>
                </c:pt>
                <c:pt idx="4">
                  <c:v>104854</c:v>
                </c:pt>
                <c:pt idx="5">
                  <c:v>-337240</c:v>
                </c:pt>
                <c:pt idx="6">
                  <c:v>-44995</c:v>
                </c:pt>
              </c:numCache>
            </c:numRef>
          </c:val>
          <c:smooth val="0"/>
          <c:extLst>
            <c:ext xmlns:c16="http://schemas.microsoft.com/office/drawing/2014/chart" uri="{C3380CC4-5D6E-409C-BE32-E72D297353CC}">
              <c16:uniqueId val="{00000000-30EF-45C1-BFF0-E23B8C649049}"/>
            </c:ext>
          </c:extLst>
        </c:ser>
        <c:dLbls>
          <c:showLegendKey val="0"/>
          <c:showVal val="0"/>
          <c:showCatName val="0"/>
          <c:showSerName val="0"/>
          <c:showPercent val="0"/>
          <c:showBubbleSize val="0"/>
        </c:dLbls>
        <c:smooth val="0"/>
        <c:axId val="199646304"/>
        <c:axId val="199652128"/>
      </c:lineChart>
      <c:catAx>
        <c:axId val="19964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52128"/>
        <c:crosses val="autoZero"/>
        <c:auto val="1"/>
        <c:lblAlgn val="ctr"/>
        <c:lblOffset val="100"/>
        <c:noMultiLvlLbl val="0"/>
      </c:catAx>
      <c:valAx>
        <c:axId val="199652128"/>
        <c:scaling>
          <c:orientation val="minMax"/>
        </c:scaling>
        <c:delete val="0"/>
        <c:axPos val="l"/>
        <c:majorGridlines>
          <c:spPr>
            <a:ln w="9525" cap="flat" cmpd="sng" algn="ctr">
              <a:solidFill>
                <a:schemeClr val="tx1">
                  <a:lumMod val="15000"/>
                  <a:lumOff val="85000"/>
                </a:schemeClr>
              </a:solidFill>
              <a:round/>
            </a:ln>
            <a:effectLst/>
          </c:spPr>
        </c:majorGridlines>
        <c:numFmt formatCode="&quot;MK&quot;#,##0.00_);[Red]\(&quot;M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46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[Daily_Out_Standing.xlsx]PIVOT!PivotTable4</c:name>
    <c:fmtId val="18"/>
  </c:pivotSource>
  <c:chart>
    <c:autoTitleDeleted val="1"/>
    <c:pivotFmts>
      <c:pivotFmt>
        <c:idx val="0"/>
      </c:pivotFmt>
      <c:pivotFmt>
        <c:idx val="1"/>
      </c:pivotFmt>
      <c:pivotFmt>
        <c:idx val="2"/>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s>
    <c:plotArea>
      <c:layout>
        <c:manualLayout>
          <c:layoutTarget val="inner"/>
          <c:xMode val="edge"/>
          <c:yMode val="edge"/>
          <c:x val="8.8538567334615528E-2"/>
          <c:y val="7.496112281739431E-2"/>
          <c:w val="0.80572649713149114"/>
          <c:h val="0.76730324202432443"/>
        </c:manualLayout>
      </c:layout>
      <c:barChart>
        <c:barDir val="bar"/>
        <c:grouping val="clustered"/>
        <c:varyColors val="0"/>
        <c:ser>
          <c:idx val="0"/>
          <c:order val="0"/>
          <c:tx>
            <c:strRef>
              <c:f>PIVOT!$E$21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PIVOT!$D$22:$D$29</c:f>
              <c:strCache>
                <c:ptCount val="7"/>
                <c:pt idx="0">
                  <c:v>12/05/2026</c:v>
                </c:pt>
                <c:pt idx="1">
                  <c:v>13/05/2026</c:v>
                </c:pt>
                <c:pt idx="2">
                  <c:v>15/05/2026</c:v>
                </c:pt>
                <c:pt idx="3">
                  <c:v>16/05/2026</c:v>
                </c:pt>
                <c:pt idx="4">
                  <c:v>21/05/2026</c:v>
                </c:pt>
                <c:pt idx="5">
                  <c:v>24/05/2026</c:v>
                </c:pt>
                <c:pt idx="6">
                  <c:v>26/05/2026</c:v>
                </c:pt>
              </c:strCache>
            </c:strRef>
          </c:cat>
          <c:val>
            <c:numRef>
              <c:f>PIVOT!$E$22:$E$29</c:f>
              <c:numCache>
                <c:formatCode>"MK"#,##0.00_);[Red]\("MK"#,##0.00\)</c:formatCode>
                <c:ptCount val="7"/>
                <c:pt idx="0">
                  <c:v>0</c:v>
                </c:pt>
                <c:pt idx="1">
                  <c:v>502833</c:v>
                </c:pt>
                <c:pt idx="2">
                  <c:v>683489</c:v>
                </c:pt>
                <c:pt idx="3">
                  <c:v>993143</c:v>
                </c:pt>
                <c:pt idx="4">
                  <c:v>1097997</c:v>
                </c:pt>
                <c:pt idx="5">
                  <c:v>760757</c:v>
                </c:pt>
                <c:pt idx="6">
                  <c:v>715762</c:v>
                </c:pt>
              </c:numCache>
            </c:numRef>
          </c:val>
          <c:extLst>
            <c:ext xmlns:c16="http://schemas.microsoft.com/office/drawing/2014/chart" uri="{C3380CC4-5D6E-409C-BE32-E72D297353CC}">
              <c16:uniqueId val="{00000000-D165-4E74-B929-C1D1E5717B15}"/>
            </c:ext>
          </c:extLst>
        </c:ser>
        <c:dLbls>
          <c:showLegendKey val="0"/>
          <c:showVal val="0"/>
          <c:showCatName val="0"/>
          <c:showSerName val="0"/>
          <c:showPercent val="0"/>
          <c:showBubbleSize val="0"/>
        </c:dLbls>
        <c:gapWidth val="326"/>
        <c:overlap val="-58"/>
        <c:axId val="1601924495"/>
        <c:axId val="1601921999"/>
      </c:barChart>
      <c:catAx>
        <c:axId val="160192449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21999"/>
        <c:crosses val="autoZero"/>
        <c:auto val="1"/>
        <c:lblAlgn val="ctr"/>
        <c:lblOffset val="100"/>
        <c:noMultiLvlLbl val="0"/>
      </c:catAx>
      <c:valAx>
        <c:axId val="1601921999"/>
        <c:scaling>
          <c:orientation val="minMax"/>
        </c:scaling>
        <c:delete val="0"/>
        <c:axPos val="b"/>
        <c:numFmt formatCode="&quot;MK&quot;#,##0.00_);[Red]\(&quot;M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9244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[Daily_Out_Standing.xlsx]PIVOT!PivotTable3</c:name>
    <c:fmtId val="16"/>
  </c:pivotSource>
  <c:chart>
    <c:autoTitleDeleted val="1"/>
    <c:pivotFmts>
      <c:pivotFmt>
        <c:idx val="0"/>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tx>
            <c:rich>
              <a:bodyPr rot="0" spcFirstLastPara="1" vertOverflow="ellipsis" vert="horz" wrap="square" lIns="38100" tIns="19050" rIns="38100" bIns="19050" anchor="ctr" anchorCtr="1">
                <a:spAutoFit/>
              </a:bodyPr>
              <a:lstStyle/>
              <a:p>
                <a:pPr>
                  <a:defRPr sz="1500" b="0" i="0" u="none" strike="noStrike" kern="1200" baseline="0">
                    <a:solidFill>
                      <a:schemeClr val="tx2"/>
                    </a:solidFill>
                    <a:latin typeface="+mn-lt"/>
                    <a:ea typeface="+mn-ea"/>
                    <a:cs typeface="+mn-cs"/>
                  </a:defRPr>
                </a:pPr>
                <a:fld id="{B8635B81-8830-4591-9F21-02E57C20B3FF}" type="VALUE">
                  <a:rPr lang="en-US" b="1"/>
                  <a:pPr>
                    <a:defRPr sz="15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PIVOT!$B$36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PIVOT!$A$37:$A$44</c:f>
              <c:strCache>
                <c:ptCount val="7"/>
                <c:pt idx="0">
                  <c:v>12/05/2026</c:v>
                </c:pt>
                <c:pt idx="1">
                  <c:v>13/05/2026</c:v>
                </c:pt>
                <c:pt idx="2">
                  <c:v>15/05/2026</c:v>
                </c:pt>
                <c:pt idx="3">
                  <c:v>16/05/2026</c:v>
                </c:pt>
                <c:pt idx="4">
                  <c:v>21/05/2026</c:v>
                </c:pt>
                <c:pt idx="5">
                  <c:v>24/05/2026</c:v>
                </c:pt>
                <c:pt idx="6">
                  <c:v>26/05/2026</c:v>
                </c:pt>
              </c:strCache>
            </c:strRef>
          </c:cat>
          <c:val>
            <c:numRef>
              <c:f>PIVOT!$B$37:$B$44</c:f>
              <c:numCache>
                <c:formatCode>"MK"#,##0.00_);[Red]\("MK"#,##0.00\)</c:formatCode>
                <c:ptCount val="7"/>
                <c:pt idx="0">
                  <c:v>0</c:v>
                </c:pt>
                <c:pt idx="1">
                  <c:v>502833</c:v>
                </c:pt>
                <c:pt idx="2">
                  <c:v>683489</c:v>
                </c:pt>
                <c:pt idx="3">
                  <c:v>993143</c:v>
                </c:pt>
                <c:pt idx="4">
                  <c:v>1097997</c:v>
                </c:pt>
                <c:pt idx="5">
                  <c:v>760757</c:v>
                </c:pt>
                <c:pt idx="6">
                  <c:v>715762</c:v>
                </c:pt>
              </c:numCache>
            </c:numRef>
          </c:val>
          <c:extLst>
            <c:ext xmlns:c16="http://schemas.microsoft.com/office/drawing/2014/chart" uri="{C3380CC4-5D6E-409C-BE32-E72D297353CC}">
              <c16:uniqueId val="{00000001-DD3E-4D04-99F9-42AACA6C5896}"/>
            </c:ext>
          </c:extLst>
        </c:ser>
        <c:dLbls>
          <c:dLblPos val="outEnd"/>
          <c:showLegendKey val="0"/>
          <c:showVal val="1"/>
          <c:showCatName val="0"/>
          <c:showSerName val="0"/>
          <c:showPercent val="0"/>
          <c:showBubbleSize val="0"/>
        </c:dLbls>
        <c:gapWidth val="100"/>
        <c:overlap val="-24"/>
        <c:axId val="483106432"/>
        <c:axId val="483104768"/>
      </c:barChart>
      <c:catAx>
        <c:axId val="4831064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4">
                    <a:lumMod val="50000"/>
                  </a:schemeClr>
                </a:solidFill>
                <a:latin typeface="+mn-lt"/>
                <a:ea typeface="+mn-ea"/>
                <a:cs typeface="+mn-cs"/>
              </a:defRPr>
            </a:pPr>
            <a:endParaRPr lang="en-US"/>
          </a:p>
        </c:txPr>
        <c:crossAx val="483104768"/>
        <c:crosses val="autoZero"/>
        <c:auto val="1"/>
        <c:lblAlgn val="ctr"/>
        <c:lblOffset val="100"/>
        <c:noMultiLvlLbl val="0"/>
      </c:catAx>
      <c:valAx>
        <c:axId val="483104768"/>
        <c:scaling>
          <c:orientation val="minMax"/>
        </c:scaling>
        <c:delete val="0"/>
        <c:axPos val="l"/>
        <c:numFmt formatCode="&quot;MK&quot;#,##0.00_);[Red]\(&quot;M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31064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[Daily_Out_Standing.xlsx]PIVOT!PivotTable1</c:name>
    <c:fmtId val="23"/>
  </c:pivotSource>
  <c:chart>
    <c:title>
      <c:tx>
        <c:rich>
          <a:bodyPr rot="0" spcFirstLastPara="1" vertOverflow="ellipsis" vert="horz" wrap="square" anchor="ctr" anchorCtr="1"/>
          <a:lstStyle/>
          <a:p>
            <a:pPr>
              <a:defRPr sz="1600" b="1" i="0" u="none" strike="noStrike" kern="1200" baseline="0">
                <a:ln>
                  <a:noFill/>
                </a:ln>
                <a:solidFill>
                  <a:schemeClr val="tx1"/>
                </a:solidFill>
                <a:latin typeface="+mn-lt"/>
                <a:ea typeface="+mn-ea"/>
                <a:cs typeface="+mn-cs"/>
              </a:defRPr>
            </a:pPr>
            <a:r>
              <a:rPr lang="en-US"/>
              <a:t>DIffrence Rise</a:t>
            </a:r>
          </a:p>
        </c:rich>
      </c:tx>
      <c:layout/>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1"/>
              </a:solidFill>
              <a:latin typeface="+mn-lt"/>
              <a:ea typeface="+mn-ea"/>
              <a:cs typeface="+mn-cs"/>
            </a:defRPr>
          </a:pPr>
          <a:endParaRPr lang="en-US"/>
        </a:p>
      </c:txPr>
    </c:title>
    <c:autoTitleDeleted val="0"/>
    <c:pivotFmts>
      <c:pivotFmt>
        <c:idx val="0"/>
      </c:pivotFmt>
      <c:pivotFmt>
        <c:idx val="1"/>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PIVOT!$B$20</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1"/>
            <c:marker>
              <c:symbol val="circle"/>
              <c:size val="6"/>
              <c:spPr>
                <a:solidFill>
                  <a:schemeClr val="accent1">
                    <a:lumMod val="75000"/>
                  </a:schemeClr>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E082-425F-854F-C83C3104486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PIVOT!$A$21:$A$28</c:f>
              <c:strCache>
                <c:ptCount val="7"/>
                <c:pt idx="0">
                  <c:v>12/05/2026</c:v>
                </c:pt>
                <c:pt idx="1">
                  <c:v>13/05/2026</c:v>
                </c:pt>
                <c:pt idx="2">
                  <c:v>15/05/2026</c:v>
                </c:pt>
                <c:pt idx="3">
                  <c:v>16/05/2026</c:v>
                </c:pt>
                <c:pt idx="4">
                  <c:v>21/05/2026</c:v>
                </c:pt>
                <c:pt idx="5">
                  <c:v>24/05/2026</c:v>
                </c:pt>
                <c:pt idx="6">
                  <c:v>26/05/2026</c:v>
                </c:pt>
              </c:strCache>
            </c:strRef>
          </c:cat>
          <c:val>
            <c:numRef>
              <c:f>PIVOT!$B$21:$B$28</c:f>
              <c:numCache>
                <c:formatCode>"MK"#,##0.00_);[Red]\("MK"#,##0.00\)</c:formatCode>
                <c:ptCount val="7"/>
                <c:pt idx="0">
                  <c:v>0</c:v>
                </c:pt>
                <c:pt idx="1">
                  <c:v>502833</c:v>
                </c:pt>
                <c:pt idx="2">
                  <c:v>180656</c:v>
                </c:pt>
                <c:pt idx="3">
                  <c:v>309654</c:v>
                </c:pt>
                <c:pt idx="4">
                  <c:v>104854</c:v>
                </c:pt>
                <c:pt idx="5">
                  <c:v>-337240</c:v>
                </c:pt>
                <c:pt idx="6">
                  <c:v>-44995</c:v>
                </c:pt>
              </c:numCache>
            </c:numRef>
          </c:val>
          <c:smooth val="0"/>
          <c:extLst>
            <c:ext xmlns:c16="http://schemas.microsoft.com/office/drawing/2014/chart" uri="{C3380CC4-5D6E-409C-BE32-E72D297353CC}">
              <c16:uniqueId val="{00000000-E082-425F-854F-C83C31044867}"/>
            </c:ext>
          </c:extLst>
        </c:ser>
        <c:dLbls>
          <c:dLblPos val="t"/>
          <c:showLegendKey val="0"/>
          <c:showVal val="1"/>
          <c:showCatName val="0"/>
          <c:showSerName val="0"/>
          <c:showPercent val="0"/>
          <c:showBubbleSize val="0"/>
        </c:dLbls>
        <c:upDownBars>
          <c:gapWidth val="315"/>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99646304"/>
        <c:axId val="199652128"/>
      </c:lineChart>
      <c:catAx>
        <c:axId val="1996463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ln>
                  <a:noFill/>
                </a:ln>
                <a:solidFill>
                  <a:schemeClr val="tx1"/>
                </a:solidFill>
                <a:latin typeface="+mn-lt"/>
                <a:ea typeface="+mn-ea"/>
                <a:cs typeface="+mn-cs"/>
              </a:defRPr>
            </a:pPr>
            <a:endParaRPr lang="en-US"/>
          </a:p>
        </c:txPr>
        <c:crossAx val="199652128"/>
        <c:crosses val="autoZero"/>
        <c:auto val="1"/>
        <c:lblAlgn val="ctr"/>
        <c:lblOffset val="100"/>
        <c:noMultiLvlLbl val="0"/>
      </c:catAx>
      <c:valAx>
        <c:axId val="199652128"/>
        <c:scaling>
          <c:orientation val="minMax"/>
        </c:scaling>
        <c:delete val="0"/>
        <c:axPos val="l"/>
        <c:majorGridlines>
          <c:spPr>
            <a:ln w="9525" cap="flat" cmpd="sng" algn="ctr">
              <a:solidFill>
                <a:schemeClr val="tx1">
                  <a:lumMod val="15000"/>
                  <a:lumOff val="85000"/>
                </a:schemeClr>
              </a:solidFill>
              <a:round/>
            </a:ln>
            <a:effectLst/>
          </c:spPr>
        </c:majorGridlines>
        <c:numFmt formatCode="&quot;MK&quot;#,##0.00_);[Red]\(&quot;MK&quot;#,##0.00\)" sourceLinked="1"/>
        <c:majorTickMark val="none"/>
        <c:minorTickMark val="none"/>
        <c:tickLblPos val="nextTo"/>
        <c:spPr>
          <a:noFill/>
          <a:ln>
            <a:noFill/>
          </a:ln>
          <a:effectLst>
            <a:outerShdw blurRad="50800" dist="50800" dir="5400000" sx="1000" sy="1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996463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9525</xdr:colOff>
      <xdr:row>1</xdr:row>
      <xdr:rowOff>19051</xdr:rowOff>
    </xdr:from>
    <xdr:to>
      <xdr:col>8</xdr:col>
      <xdr:colOff>476250</xdr:colOff>
      <xdr:row>10</xdr:row>
      <xdr:rowOff>95251</xdr:rowOff>
    </xdr:to>
    <mc:AlternateContent xmlns:mc="http://schemas.openxmlformats.org/markup-compatibility/2006" xmlns:a14="http://schemas.microsoft.com/office/drawing/2010/main">
      <mc:Choice Requires="a14">
        <xdr:graphicFrame macro="">
          <xdr:nvGraphicFramePr>
            <xdr:cNvPr id="2" name="Day"/>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8423275" y="209551"/>
              <a:ext cx="181610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214312</xdr:colOff>
      <xdr:row>0</xdr:row>
      <xdr:rowOff>152400</xdr:rowOff>
    </xdr:from>
    <xdr:to>
      <xdr:col>16</xdr:col>
      <xdr:colOff>554037</xdr:colOff>
      <xdr:row>15</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230187</xdr:colOff>
      <xdr:row>16</xdr:row>
      <xdr:rowOff>152400</xdr:rowOff>
    </xdr:from>
    <xdr:to>
      <xdr:col>16</xdr:col>
      <xdr:colOff>579437</xdr:colOff>
      <xdr:row>31</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119062</xdr:colOff>
      <xdr:row>34</xdr:row>
      <xdr:rowOff>1587</xdr:rowOff>
    </xdr:from>
    <xdr:to>
      <xdr:col>17</xdr:col>
      <xdr:colOff>468312</xdr:colOff>
      <xdr:row>48</xdr:row>
      <xdr:rowOff>77787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253999</xdr:colOff>
      <xdr:row>7</xdr:row>
      <xdr:rowOff>47625</xdr:rowOff>
    </xdr:from>
    <xdr:to>
      <xdr:col>36</xdr:col>
      <xdr:colOff>142874</xdr:colOff>
      <xdr:row>47</xdr:row>
      <xdr:rowOff>126999</xdr:rowOff>
    </xdr:to>
    <xdr:sp macro="" textlink="">
      <xdr:nvSpPr>
        <xdr:cNvPr id="6" name="Rounded Rectangle 5"/>
        <xdr:cNvSpPr/>
      </xdr:nvSpPr>
      <xdr:spPr>
        <a:xfrm>
          <a:off x="253999" y="1381125"/>
          <a:ext cx="21605875" cy="7699374"/>
        </a:xfrm>
        <a:prstGeom prst="roundRect">
          <a:avLst/>
        </a:prstGeom>
        <a:solidFill>
          <a:sysClr val="window" lastClr="FFFFFF"/>
        </a:solidFill>
        <a:ln cap="flat"/>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xdr:colOff>
      <xdr:row>13</xdr:row>
      <xdr:rowOff>28575</xdr:rowOff>
    </xdr:from>
    <xdr:to>
      <xdr:col>6</xdr:col>
      <xdr:colOff>57150</xdr:colOff>
      <xdr:row>23</xdr:row>
      <xdr:rowOff>161925</xdr:rowOff>
    </xdr:to>
    <xdr:sp macro="" textlink="">
      <xdr:nvSpPr>
        <xdr:cNvPr id="2" name="Rectangle 1"/>
        <xdr:cNvSpPr/>
      </xdr:nvSpPr>
      <xdr:spPr>
        <a:xfrm>
          <a:off x="1254125" y="2505075"/>
          <a:ext cx="2422525" cy="2038350"/>
        </a:xfrm>
        <a:prstGeom prst="rect">
          <a:avLst/>
        </a:prstGeom>
        <a:noFill/>
        <a:ln>
          <a:solidFill>
            <a:schemeClr val="bg1"/>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301625</xdr:colOff>
      <xdr:row>12</xdr:row>
      <xdr:rowOff>31751</xdr:rowOff>
    </xdr:from>
    <xdr:to>
      <xdr:col>18</xdr:col>
      <xdr:colOff>47625</xdr:colOff>
      <xdr:row>24</xdr:row>
      <xdr:rowOff>19051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160613</xdr:colOff>
      <xdr:row>24</xdr:row>
      <xdr:rowOff>142927</xdr:rowOff>
    </xdr:from>
    <xdr:to>
      <xdr:col>18</xdr:col>
      <xdr:colOff>238124</xdr:colOff>
      <xdr:row>45</xdr:row>
      <xdr:rowOff>0</xdr:rowOff>
    </xdr:to>
    <xdr:sp macro="" textlink="">
      <xdr:nvSpPr>
        <xdr:cNvPr id="4" name="Rounded Rectangle 3"/>
        <xdr:cNvSpPr/>
      </xdr:nvSpPr>
      <xdr:spPr>
        <a:xfrm>
          <a:off x="763863" y="4714927"/>
          <a:ext cx="10332761" cy="3857573"/>
        </a:xfrm>
        <a:prstGeom prst="round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368300</xdr:colOff>
      <xdr:row>13</xdr:row>
      <xdr:rowOff>142875</xdr:rowOff>
    </xdr:from>
    <xdr:to>
      <xdr:col>5</xdr:col>
      <xdr:colOff>355600</xdr:colOff>
      <xdr:row>23</xdr:row>
      <xdr:rowOff>28575</xdr:rowOff>
    </xdr:to>
    <mc:AlternateContent xmlns:mc="http://schemas.openxmlformats.org/markup-compatibility/2006">
      <mc:Choice xmlns:a14="http://schemas.microsoft.com/office/drawing/2010/main" Requires="a14">
        <xdr:graphicFrame macro="">
          <xdr:nvGraphicFramePr>
            <xdr:cNvPr id="5" name="Day 1"/>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dr:sp macro="" textlink="">
          <xdr:nvSpPr>
            <xdr:cNvPr id="0" name=""/>
            <xdr:cNvSpPr>
              <a:spLocks noTextEdit="1"/>
            </xdr:cNvSpPr>
          </xdr:nvSpPr>
          <xdr:spPr>
            <a:xfrm>
              <a:off x="1574800" y="2619375"/>
              <a:ext cx="179705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206374</xdr:colOff>
      <xdr:row>24</xdr:row>
      <xdr:rowOff>158750</xdr:rowOff>
    </xdr:from>
    <xdr:to>
      <xdr:col>17</xdr:col>
      <xdr:colOff>183285</xdr:colOff>
      <xdr:row>44</xdr:row>
      <xdr:rowOff>174625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571500</xdr:colOff>
      <xdr:row>13</xdr:row>
      <xdr:rowOff>158749</xdr:rowOff>
    </xdr:from>
    <xdr:to>
      <xdr:col>35</xdr:col>
      <xdr:colOff>63500</xdr:colOff>
      <xdr:row>44</xdr:row>
      <xdr:rowOff>142874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Bright paipila" refreshedDate="46168.866640740744" backgroundQuery="1" createdVersion="6" refreshedVersion="6" minRefreshableVersion="3" recordCount="0" supportSubquery="1" supportAdvancedDrill="1">
  <cacheSource type="external" connectionId="1"/>
  <cacheFields count="3">
    <cacheField name="[Measures].[Sum of Difference_Outstanding]" caption="Sum of Difference_Outstanding" numFmtId="0" hierarchy="12" level="32767"/>
    <cacheField name="[Table1].[Outstanding].[Outstanding]" caption="Outstanding" numFmtId="0" hierarchy="3" level="1">
      <sharedItems containsSemiMixedTypes="0" containsNonDate="0" containsString="0" containsNumber="1" containsInteger="1" count="4">
        <n v="113539479"/>
        <n v="113036646"/>
        <n v="112353157"/>
        <n v="111353158"/>
      </sharedItems>
      <extLst>
        <ext xmlns:x15="http://schemas.microsoft.com/office/spreadsheetml/2010/11/main" uri="{4F2E5C28-24EA-4eb8-9CBF-B6C8F9C3D259}">
          <x15:cachedUniqueNames>
            <x15:cachedUniqueName index="0" name="[Table1].[Outstanding].&amp;[113539479]"/>
            <x15:cachedUniqueName index="1" name="[Table1].[Outstanding].&amp;[113036646]"/>
            <x15:cachedUniqueName index="2" name="[Table1].[Outstanding].&amp;[112353157]"/>
            <x15:cachedUniqueName index="3" name="[Table1].[Outstanding].&amp;[111353158]"/>
          </x15:cachedUniqueNames>
        </ext>
      </extLst>
    </cacheField>
    <cacheField name="[Table1].[Day].[Day]" caption="Day" numFmtId="0" hierarchy="1" level="1">
      <sharedItems containsSemiMixedTypes="0" containsNonDate="0" containsDate="1" containsString="0" minDate="2026-05-12T00:00:00" maxDate="2026-05-27T00:00:00" count="7">
        <d v="2026-05-12T00:00:00"/>
        <d v="2026-05-13T00:00:00"/>
        <d v="2026-05-15T00:00:00"/>
        <d v="2026-05-16T00:00:00"/>
        <d v="2026-05-21T00:00:00"/>
        <d v="2026-05-24T00:00:00"/>
        <d v="2026-05-26T00:00:00"/>
      </sharedItems>
    </cacheField>
  </cacheFields>
  <cacheHierarchies count="14">
    <cacheHierarchy uniqueName="[Table1].[Db id]" caption="Db id" attribute="1" defaultMemberUniqueName="[Table1].[Db id].[All]" allUniqueName="[Table1].[Db id].[All]" dimensionUniqueName="[Table1]" displayFolder="" count="0" memberValueDatatype="20" unbalanced="0"/>
    <cacheHierarchy uniqueName="[Table1].[Day]" caption="Day" attribute="1" time="1" defaultMemberUniqueName="[Table1].[Day].[All]" allUniqueName="[Table1].[Day].[All]" dimensionUniqueName="[Table1]" displayFolder="" count="2" memberValueDatatype="7" unbalanced="0">
      <fieldsUsage count="2">
        <fieldUsage x="-1"/>
        <fieldUsage x="2"/>
      </fieldsUsage>
    </cacheHierarchy>
    <cacheHierarchy uniqueName="[Table1].[Sales product]" caption="Sales product" attribute="1" defaultMemberUniqueName="[Table1].[Sales product].[All]" allUniqueName="[Table1].[Sales product].[All]" dimensionUniqueName="[Table1]" displayFolder="" count="0" memberValueDatatype="130" unbalanced="0"/>
    <cacheHierarchy uniqueName="[Table1].[Outstanding]" caption="Outstanding" attribute="1" defaultMemberUniqueName="[Table1].[Outstanding].[All]" allUniqueName="[Table1].[Outstanding].[All]" dimensionUniqueName="[Table1]" displayFolder="" count="2" memberValueDatatype="20" unbalanced="0">
      <fieldsUsage count="2">
        <fieldUsage x="-1"/>
        <fieldUsage x="1"/>
      </fieldsUsage>
    </cacheHierarchy>
    <cacheHierarchy uniqueName="[Table1].[Difference_Outstanding]" caption="Difference_Outstanding" attribute="1" defaultMemberUniqueName="[Table1].[Difference_Outstanding].[All]" allUniqueName="[Table1].[Difference_Outstanding].[All]" dimensionUniqueName="[Table1]" displayFolder="" count="0" memberValueDatatype="20" unbalanced="0"/>
    <cacheHierarchy uniqueName="[Table1].[Difference_Rise]" caption="Difference_Rise" attribute="1" defaultMemberUniqueName="[Table1].[Difference_Rise].[All]" allUniqueName="[Table1].[Difference_Ris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b id]" caption="Sum of Db id" measure="1" displayFolder="" measureGroup="Table1" count="0" hidden="1">
      <extLst>
        <ext xmlns:x15="http://schemas.microsoft.com/office/spreadsheetml/2010/11/main" uri="{B97F6D7D-B522-45F9-BDA1-12C45D357490}">
          <x15:cacheHierarchy aggregatedColumn="0"/>
        </ext>
      </extLst>
    </cacheHierarchy>
    <cacheHierarchy uniqueName="[Measures].[Count of Day]" caption="Count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product]" caption="Count of Sales product" measure="1" displayFolder="" measureGroup="Table1" count="0" hidden="1">
      <extLst>
        <ext xmlns:x15="http://schemas.microsoft.com/office/spreadsheetml/2010/11/main" uri="{B97F6D7D-B522-45F9-BDA1-12C45D357490}">
          <x15:cacheHierarchy aggregatedColumn="2"/>
        </ext>
      </extLst>
    </cacheHierarchy>
    <cacheHierarchy uniqueName="[Measures].[Sum of Outstanding]" caption="Sum of Outstanding" measure="1" displayFolder="" measureGroup="Table1" count="0" hidden="1">
      <extLst>
        <ext xmlns:x15="http://schemas.microsoft.com/office/spreadsheetml/2010/11/main" uri="{B97F6D7D-B522-45F9-BDA1-12C45D357490}">
          <x15:cacheHierarchy aggregatedColumn="3"/>
        </ext>
      </extLst>
    </cacheHierarchy>
    <cacheHierarchy uniqueName="[Measures].[Sum of Difference_Outstanding]" caption="Sum of Difference_Outstanding"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Difference_Rise]" caption="Sum of Difference_Ris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Bright paipila" refreshedDate="46168.866641203706" backgroundQuery="1" createdVersion="6" refreshedVersion="6" minRefreshableVersion="3" recordCount="0" supportSubquery="1" supportAdvancedDrill="1">
  <cacheSource type="external" connectionId="1"/>
  <cacheFields count="2">
    <cacheField name="[Measures].[Sum of Difference_Outstanding]" caption="Sum of Difference_Outstanding" numFmtId="0" hierarchy="12" level="32767"/>
    <cacheField name="[Table1].[Day].[Day]" caption="Day" numFmtId="0" hierarchy="1" level="1">
      <sharedItems containsSemiMixedTypes="0" containsNonDate="0" containsDate="1" containsString="0" minDate="2026-05-12T00:00:00" maxDate="2026-05-27T00:00:00" count="7">
        <d v="2026-05-12T00:00:00"/>
        <d v="2026-05-13T00:00:00"/>
        <d v="2026-05-15T00:00:00"/>
        <d v="2026-05-16T00:00:00"/>
        <d v="2026-05-21T00:00:00"/>
        <d v="2026-05-24T00:00:00"/>
        <d v="2026-05-26T00:00:00"/>
      </sharedItems>
    </cacheField>
  </cacheFields>
  <cacheHierarchies count="14">
    <cacheHierarchy uniqueName="[Table1].[Db id]" caption="Db id" attribute="1" defaultMemberUniqueName="[Table1].[Db id].[All]" allUniqueName="[Table1].[Db id].[All]" dimensionUniqueName="[Table1]" displayFolder="" count="0" memberValueDatatype="20" unbalanced="0"/>
    <cacheHierarchy uniqueName="[Table1].[Day]" caption="Day" attribute="1" time="1" defaultMemberUniqueName="[Table1].[Day].[All]" allUniqueName="[Table1].[Day].[All]" dimensionUniqueName="[Table1]" displayFolder="" count="2" memberValueDatatype="7" unbalanced="0">
      <fieldsUsage count="2">
        <fieldUsage x="-1"/>
        <fieldUsage x="1"/>
      </fieldsUsage>
    </cacheHierarchy>
    <cacheHierarchy uniqueName="[Table1].[Sales product]" caption="Sales product" attribute="1" defaultMemberUniqueName="[Table1].[Sales product].[All]" allUniqueName="[Table1].[Sales product].[All]" dimensionUniqueName="[Table1]" displayFolder="" count="0" memberValueDatatype="130" unbalanced="0"/>
    <cacheHierarchy uniqueName="[Table1].[Outstanding]" caption="Outstanding" attribute="1" defaultMemberUniqueName="[Table1].[Outstanding].[All]" allUniqueName="[Table1].[Outstanding].[All]" dimensionUniqueName="[Table1]" displayFolder="" count="0" memberValueDatatype="20" unbalanced="0"/>
    <cacheHierarchy uniqueName="[Table1].[Difference_Outstanding]" caption="Difference_Outstanding" attribute="1" defaultMemberUniqueName="[Table1].[Difference_Outstanding].[All]" allUniqueName="[Table1].[Difference_Outstanding].[All]" dimensionUniqueName="[Table1]" displayFolder="" count="0" memberValueDatatype="20" unbalanced="0"/>
    <cacheHierarchy uniqueName="[Table1].[Difference_Rise]" caption="Difference_Rise" attribute="1" defaultMemberUniqueName="[Table1].[Difference_Rise].[All]" allUniqueName="[Table1].[Difference_Ris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b id]" caption="Sum of Db id" measure="1" displayFolder="" measureGroup="Table1" count="0" hidden="1">
      <extLst>
        <ext xmlns:x15="http://schemas.microsoft.com/office/spreadsheetml/2010/11/main" uri="{B97F6D7D-B522-45F9-BDA1-12C45D357490}">
          <x15:cacheHierarchy aggregatedColumn="0"/>
        </ext>
      </extLst>
    </cacheHierarchy>
    <cacheHierarchy uniqueName="[Measures].[Count of Day]" caption="Count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product]" caption="Count of Sales product" measure="1" displayFolder="" measureGroup="Table1" count="0" hidden="1">
      <extLst>
        <ext xmlns:x15="http://schemas.microsoft.com/office/spreadsheetml/2010/11/main" uri="{B97F6D7D-B522-45F9-BDA1-12C45D357490}">
          <x15:cacheHierarchy aggregatedColumn="2"/>
        </ext>
      </extLst>
    </cacheHierarchy>
    <cacheHierarchy uniqueName="[Measures].[Sum of Outstanding]" caption="Sum of Outstanding" measure="1" displayFolder="" measureGroup="Table1" count="0" hidden="1">
      <extLst>
        <ext xmlns:x15="http://schemas.microsoft.com/office/spreadsheetml/2010/11/main" uri="{B97F6D7D-B522-45F9-BDA1-12C45D357490}">
          <x15:cacheHierarchy aggregatedColumn="3"/>
        </ext>
      </extLst>
    </cacheHierarchy>
    <cacheHierarchy uniqueName="[Measures].[Sum of Difference_Outstanding]" caption="Sum of Difference_Outstanding"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Difference_Rise]" caption="Sum of Difference_Ris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Bright paipila" refreshedDate="46168.866641550929" backgroundQuery="1" createdVersion="6" refreshedVersion="6" minRefreshableVersion="3" recordCount="0" supportSubquery="1" supportAdvancedDrill="1">
  <cacheSource type="external" connectionId="1"/>
  <cacheFields count="5">
    <cacheField name="[Table1].[Db id].[Db id]" caption="Db id" numFmtId="0" level="1">
      <sharedItems containsSemiMixedTypes="0" containsString="0" containsNumber="1" containsInteger="1" minValue="1" maxValue="9" count="7">
        <n v="1"/>
        <n v="2"/>
        <n v="4"/>
        <n v="5"/>
        <n v="6"/>
        <n v="8"/>
        <n v="9"/>
      </sharedItems>
      <extLst>
        <ext xmlns:x15="http://schemas.microsoft.com/office/spreadsheetml/2010/11/main" uri="{4F2E5C28-24EA-4eb8-9CBF-B6C8F9C3D259}">
          <x15:cachedUniqueNames>
            <x15:cachedUniqueName index="0" name="[Table1].[Db id].&amp;[1]"/>
            <x15:cachedUniqueName index="1" name="[Table1].[Db id].&amp;[2]"/>
            <x15:cachedUniqueName index="2" name="[Table1].[Db id].&amp;[4]"/>
            <x15:cachedUniqueName index="3" name="[Table1].[Db id].&amp;[5]"/>
            <x15:cachedUniqueName index="4" name="[Table1].[Db id].&amp;[6]"/>
            <x15:cachedUniqueName index="5" name="[Table1].[Db id].&amp;[8]"/>
            <x15:cachedUniqueName index="6" name="[Table1].[Db id].&amp;[9]"/>
          </x15:cachedUniqueNames>
        </ext>
      </extLst>
    </cacheField>
    <cacheField name="[Measures].[Sum of Outstanding]" caption="Sum of Outstanding" numFmtId="0" hierarchy="11" level="32767"/>
    <cacheField name="[Measures].[Sum of Difference_Outstanding]" caption="Sum of Difference_Outstanding" numFmtId="0" hierarchy="12" level="32767"/>
    <cacheField name="[Measures].[Sum of Difference_Rise]" caption="Sum of Difference_Rise" numFmtId="0" hierarchy="13" level="32767"/>
    <cacheField name="[Table1].[Day].[Day]" caption="Day" numFmtId="0" hierarchy="1" level="1">
      <sharedItems containsSemiMixedTypes="0" containsNonDate="0" containsString="0"/>
    </cacheField>
  </cacheFields>
  <cacheHierarchies count="14">
    <cacheHierarchy uniqueName="[Table1].[Db id]" caption="Db id" attribute="1" defaultMemberUniqueName="[Table1].[Db id].[All]" allUniqueName="[Table1].[Db id].[All]" dimensionUniqueName="[Table1]" displayFolder="" count="2" memberValueDatatype="20" unbalanced="0">
      <fieldsUsage count="2">
        <fieldUsage x="-1"/>
        <fieldUsage x="0"/>
      </fieldsUsage>
    </cacheHierarchy>
    <cacheHierarchy uniqueName="[Table1].[Day]" caption="Day" attribute="1" time="1" defaultMemberUniqueName="[Table1].[Day].[All]" allUniqueName="[Table1].[Day].[All]" dimensionUniqueName="[Table1]" displayFolder="" count="2" memberValueDatatype="7" unbalanced="0">
      <fieldsUsage count="2">
        <fieldUsage x="-1"/>
        <fieldUsage x="4"/>
      </fieldsUsage>
    </cacheHierarchy>
    <cacheHierarchy uniqueName="[Table1].[Sales product]" caption="Sales product" attribute="1" defaultMemberUniqueName="[Table1].[Sales product].[All]" allUniqueName="[Table1].[Sales product].[All]" dimensionUniqueName="[Table1]" displayFolder="" count="0" memberValueDatatype="130" unbalanced="0"/>
    <cacheHierarchy uniqueName="[Table1].[Outstanding]" caption="Outstanding" attribute="1" defaultMemberUniqueName="[Table1].[Outstanding].[All]" allUniqueName="[Table1].[Outstanding].[All]" dimensionUniqueName="[Table1]" displayFolder="" count="0" memberValueDatatype="20" unbalanced="0"/>
    <cacheHierarchy uniqueName="[Table1].[Difference_Outstanding]" caption="Difference_Outstanding" attribute="1" defaultMemberUniqueName="[Table1].[Difference_Outstanding].[All]" allUniqueName="[Table1].[Difference_Outstanding].[All]" dimensionUniqueName="[Table1]" displayFolder="" count="0" memberValueDatatype="20" unbalanced="0"/>
    <cacheHierarchy uniqueName="[Table1].[Difference_Rise]" caption="Difference_Rise" attribute="1" defaultMemberUniqueName="[Table1].[Difference_Rise].[All]" allUniqueName="[Table1].[Difference_Ris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b id]" caption="Sum of Db id" measure="1" displayFolder="" measureGroup="Table1" count="0" hidden="1">
      <extLst>
        <ext xmlns:x15="http://schemas.microsoft.com/office/spreadsheetml/2010/11/main" uri="{B97F6D7D-B522-45F9-BDA1-12C45D357490}">
          <x15:cacheHierarchy aggregatedColumn="0"/>
        </ext>
      </extLst>
    </cacheHierarchy>
    <cacheHierarchy uniqueName="[Measures].[Count of Day]" caption="Count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product]" caption="Count of Sales product" measure="1" displayFolder="" measureGroup="Table1" count="0" hidden="1">
      <extLst>
        <ext xmlns:x15="http://schemas.microsoft.com/office/spreadsheetml/2010/11/main" uri="{B97F6D7D-B522-45F9-BDA1-12C45D357490}">
          <x15:cacheHierarchy aggregatedColumn="2"/>
        </ext>
      </extLst>
    </cacheHierarchy>
    <cacheHierarchy uniqueName="[Measures].[Sum of Outstanding]" caption="Sum of Outstanding"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ifference_Outstanding]" caption="Sum of Difference_Outstanding"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Difference_Rise]" caption="Sum of Difference_Rise"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Bright paipila" refreshedDate="46168.866641898145" backgroundQuery="1" createdVersion="6" refreshedVersion="6" minRefreshableVersion="3" recordCount="0" supportSubquery="1" supportAdvancedDrill="1">
  <cacheSource type="external" connectionId="1"/>
  <cacheFields count="3">
    <cacheField name="[Table1].[Outstanding].[Outstanding]" caption="Outstanding" numFmtId="0" hierarchy="3" level="1">
      <sharedItems containsSemiMixedTypes="0" containsNonDate="0" containsString="0" containsNumber="1" containsInteger="1" count="4">
        <n v="113539479"/>
        <n v="113036646"/>
        <n v="112353157"/>
        <n v="111353158"/>
      </sharedItems>
      <extLst>
        <ext xmlns:x15="http://schemas.microsoft.com/office/spreadsheetml/2010/11/main" uri="{4F2E5C28-24EA-4eb8-9CBF-B6C8F9C3D259}">
          <x15:cachedUniqueNames>
            <x15:cachedUniqueName index="0" name="[Table1].[Outstanding].&amp;[113539479]"/>
            <x15:cachedUniqueName index="1" name="[Table1].[Outstanding].&amp;[113036646]"/>
            <x15:cachedUniqueName index="2" name="[Table1].[Outstanding].&amp;[112353157]"/>
            <x15:cachedUniqueName index="3" name="[Table1].[Outstanding].&amp;[111353158]"/>
          </x15:cachedUniqueNames>
        </ext>
      </extLst>
    </cacheField>
    <cacheField name="[Table1].[Day].[Day]" caption="Day" numFmtId="0" hierarchy="1" level="1">
      <sharedItems containsSemiMixedTypes="0" containsNonDate="0" containsDate="1" containsString="0" minDate="2026-05-12T00:00:00" maxDate="2026-05-27T00:00:00" count="7">
        <d v="2026-05-12T00:00:00"/>
        <d v="2026-05-13T00:00:00"/>
        <d v="2026-05-15T00:00:00"/>
        <d v="2026-05-16T00:00:00"/>
        <d v="2026-05-21T00:00:00"/>
        <d v="2026-05-24T00:00:00"/>
        <d v="2026-05-26T00:00:00"/>
      </sharedItems>
    </cacheField>
    <cacheField name="[Measures].[Sum of Difference_Rise]" caption="Sum of Difference_Rise" numFmtId="0" hierarchy="13" level="32767"/>
  </cacheFields>
  <cacheHierarchies count="14">
    <cacheHierarchy uniqueName="[Table1].[Db id]" caption="Db id" attribute="1" defaultMemberUniqueName="[Table1].[Db id].[All]" allUniqueName="[Table1].[Db id].[All]" dimensionUniqueName="[Table1]" displayFolder="" count="0" memberValueDatatype="20" unbalanced="0"/>
    <cacheHierarchy uniqueName="[Table1].[Day]" caption="Day" attribute="1" time="1" defaultMemberUniqueName="[Table1].[Day].[All]" allUniqueName="[Table1].[Day].[All]" dimensionUniqueName="[Table1]" displayFolder="" count="2" memberValueDatatype="7" unbalanced="0">
      <fieldsUsage count="2">
        <fieldUsage x="-1"/>
        <fieldUsage x="1"/>
      </fieldsUsage>
    </cacheHierarchy>
    <cacheHierarchy uniqueName="[Table1].[Sales product]" caption="Sales product" attribute="1" defaultMemberUniqueName="[Table1].[Sales product].[All]" allUniqueName="[Table1].[Sales product].[All]" dimensionUniqueName="[Table1]" displayFolder="" count="0" memberValueDatatype="130" unbalanced="0"/>
    <cacheHierarchy uniqueName="[Table1].[Outstanding]" caption="Outstanding" attribute="1" defaultMemberUniqueName="[Table1].[Outstanding].[All]" allUniqueName="[Table1].[Outstanding].[All]" dimensionUniqueName="[Table1]" displayFolder="" count="2" memberValueDatatype="20" unbalanced="0">
      <fieldsUsage count="2">
        <fieldUsage x="-1"/>
        <fieldUsage x="0"/>
      </fieldsUsage>
    </cacheHierarchy>
    <cacheHierarchy uniqueName="[Table1].[Difference_Outstanding]" caption="Difference_Outstanding" attribute="1" defaultMemberUniqueName="[Table1].[Difference_Outstanding].[All]" allUniqueName="[Table1].[Difference_Outstanding].[All]" dimensionUniqueName="[Table1]" displayFolder="" count="0" memberValueDatatype="20" unbalanced="0"/>
    <cacheHierarchy uniqueName="[Table1].[Difference_Rise]" caption="Difference_Rise" attribute="1" defaultMemberUniqueName="[Table1].[Difference_Rise].[All]" allUniqueName="[Table1].[Difference_Ris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b id]" caption="Sum of Db id" measure="1" displayFolder="" measureGroup="Table1" count="0" hidden="1">
      <extLst>
        <ext xmlns:x15="http://schemas.microsoft.com/office/spreadsheetml/2010/11/main" uri="{B97F6D7D-B522-45F9-BDA1-12C45D357490}">
          <x15:cacheHierarchy aggregatedColumn="0"/>
        </ext>
      </extLst>
    </cacheHierarchy>
    <cacheHierarchy uniqueName="[Measures].[Count of Day]" caption="Count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product]" caption="Count of Sales product" measure="1" displayFolder="" measureGroup="Table1" count="0" hidden="1">
      <extLst>
        <ext xmlns:x15="http://schemas.microsoft.com/office/spreadsheetml/2010/11/main" uri="{B97F6D7D-B522-45F9-BDA1-12C45D357490}">
          <x15:cacheHierarchy aggregatedColumn="2"/>
        </ext>
      </extLst>
    </cacheHierarchy>
    <cacheHierarchy uniqueName="[Measures].[Sum of Outstanding]" caption="Sum of Outstanding" measure="1" displayFolder="" measureGroup="Table1" count="0" hidden="1">
      <extLst>
        <ext xmlns:x15="http://schemas.microsoft.com/office/spreadsheetml/2010/11/main" uri="{B97F6D7D-B522-45F9-BDA1-12C45D357490}">
          <x15:cacheHierarchy aggregatedColumn="3"/>
        </ext>
      </extLst>
    </cacheHierarchy>
    <cacheHierarchy uniqueName="[Measures].[Sum of Difference_Outstanding]" caption="Sum of Difference_Outstanding" measure="1" displayFolder="" measureGroup="Table1" count="0" hidden="1">
      <extLst>
        <ext xmlns:x15="http://schemas.microsoft.com/office/spreadsheetml/2010/11/main" uri="{B97F6D7D-B522-45F9-BDA1-12C45D357490}">
          <x15:cacheHierarchy aggregatedColumn="4"/>
        </ext>
      </extLst>
    </cacheHierarchy>
    <cacheHierarchy uniqueName="[Measures].[Sum of Difference_Rise]" caption="Sum of Difference_Rise"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Bright paipila" refreshedDate="46168.848235300924"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Table1].[Db id]" caption="Db id" attribute="1" defaultMemberUniqueName="[Table1].[Db id].[All]" allUniqueName="[Table1].[Db id].[All]" dimensionUniqueName="[Table1]" displayFolder="" count="0" memberValueDatatype="20" unbalanced="0"/>
    <cacheHierarchy uniqueName="[Table1].[Day]" caption="Day" attribute="1" time="1" defaultMemberUniqueName="[Table1].[Day].[All]" allUniqueName="[Table1].[Day].[All]" dimensionUniqueName="[Table1]" displayFolder="" count="2" memberValueDatatype="7" unbalanced="0"/>
    <cacheHierarchy uniqueName="[Table1].[Sales product]" caption="Sales product" attribute="1" defaultMemberUniqueName="[Table1].[Sales product].[All]" allUniqueName="[Table1].[Sales product].[All]" dimensionUniqueName="[Table1]" displayFolder="" count="0" memberValueDatatype="130" unbalanced="0"/>
    <cacheHierarchy uniqueName="[Table1].[Outstanding]" caption="Outstanding" attribute="1" defaultMemberUniqueName="[Table1].[Outstanding].[All]" allUniqueName="[Table1].[Outstanding].[All]" dimensionUniqueName="[Table1]" displayFolder="" count="0" memberValueDatatype="20" unbalanced="0"/>
    <cacheHierarchy uniqueName="[Table1].[Difference_Outstanding]" caption="Difference_Outstanding" attribute="1" defaultMemberUniqueName="[Table1].[Difference_Outstanding].[All]" allUniqueName="[Table1].[Difference_Outstanding].[All]" dimensionUniqueName="[Table1]" displayFolder="" count="0" memberValueDatatype="20" unbalanced="0"/>
    <cacheHierarchy uniqueName="[Table1].[Difference_Rise]" caption="Difference_Rise" attribute="1" defaultMemberUniqueName="[Table1].[Difference_Rise].[All]" allUniqueName="[Table1].[Difference_Ris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b id]" caption="Sum of Db id" measure="1" displayFolder="" measureGroup="Table1" count="0" hidden="1">
      <extLst>
        <ext xmlns:x15="http://schemas.microsoft.com/office/spreadsheetml/2010/11/main" uri="{B97F6D7D-B522-45F9-BDA1-12C45D357490}">
          <x15:cacheHierarchy aggregatedColumn="0"/>
        </ext>
      </extLst>
    </cacheHierarchy>
    <cacheHierarchy uniqueName="[Measures].[Count of Day]" caption="Count of Day" measure="1" displayFolder="" measureGroup="Table1" count="0" hidden="1">
      <extLst>
        <ext xmlns:x15="http://schemas.microsoft.com/office/spreadsheetml/2010/11/main" uri="{B97F6D7D-B522-45F9-BDA1-12C45D357490}">
          <x15:cacheHierarchy aggregatedColumn="1"/>
        </ext>
      </extLst>
    </cacheHierarchy>
    <cacheHierarchy uniqueName="[Measures].[Count of Sales product]" caption="Count of Sales product" measure="1" displayFolder="" measureGroup="Table1" count="0" hidden="1">
      <extLst>
        <ext xmlns:x15="http://schemas.microsoft.com/office/spreadsheetml/2010/11/main" uri="{B97F6D7D-B522-45F9-BDA1-12C45D357490}">
          <x15:cacheHierarchy aggregatedColumn="2"/>
        </ext>
      </extLst>
    </cacheHierarchy>
    <cacheHierarchy uniqueName="[Measures].[Sum of Outstanding]" caption="Sum of Outstanding" measure="1" displayFolder="" measureGroup="Table1" count="0" hidden="1">
      <extLst>
        <ext xmlns:x15="http://schemas.microsoft.com/office/spreadsheetml/2010/11/main" uri="{B97F6D7D-B522-45F9-BDA1-12C45D357490}">
          <x15:cacheHierarchy aggregatedColumn="3"/>
        </ext>
      </extLst>
    </cacheHierarchy>
    <cacheHierarchy uniqueName="[Measures].[Sum of Difference_Outstanding]" caption="Sum of Difference_Outstanding" measure="1" displayFolder="" measureGroup="Table1" count="0" hidden="1">
      <extLst>
        <ext xmlns:x15="http://schemas.microsoft.com/office/spreadsheetml/2010/11/main" uri="{B97F6D7D-B522-45F9-BDA1-12C45D357490}">
          <x15:cacheHierarchy aggregatedColumn="4"/>
        </ext>
      </extLst>
    </cacheHierarchy>
    <cacheHierarchy uniqueName="[Measures].[Sum of Difference_Rise]" caption="Sum of Difference_Rise"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3" cacheId="17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6:B44" firstHeaderRow="1" firstDataRow="1" firstDataCol="1"/>
  <pivotFields count="3">
    <pivotField dataField="1" showAll="0"/>
    <pivotField axis="axisRow" allDrilled="1" showAll="0" dataSourceSort="1" defaultAttributeDrillState="1">
      <items count="5">
        <item x="0"/>
        <item x="1"/>
        <item x="2"/>
        <item x="3"/>
        <item t="default"/>
      </items>
    </pivotField>
    <pivotField axis="axisRow" allDrilled="1" showAll="0" dataSourceSort="1">
      <items count="8">
        <item x="0" e="0"/>
        <item x="1" e="0"/>
        <item x="2" e="0"/>
        <item x="3" e="0"/>
        <item x="4" e="0"/>
        <item x="5" e="0"/>
        <item x="6" e="0"/>
        <item t="default"/>
      </items>
    </pivotField>
  </pivotFields>
  <rowFields count="2">
    <field x="2"/>
    <field x="1"/>
  </rowFields>
  <rowItems count="8">
    <i>
      <x/>
    </i>
    <i>
      <x v="1"/>
    </i>
    <i>
      <x v="2"/>
    </i>
    <i>
      <x v="3"/>
    </i>
    <i>
      <x v="4"/>
    </i>
    <i>
      <x v="5"/>
    </i>
    <i>
      <x v="6"/>
    </i>
    <i t="grand">
      <x/>
    </i>
  </rowItems>
  <colItems count="1">
    <i/>
  </colItems>
  <dataFields count="1">
    <dataField name="Sum of Difference_Outstanding" fld="0" baseField="0" baseItem="0" numFmtId="8"/>
  </dataFields>
  <chartFormats count="3">
    <chartFormat chart="13" format="0"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2" count="1" selected="0">
            <x v="3"/>
          </reference>
        </references>
      </pivotArea>
    </chartFormat>
    <chartFormat chart="16" format="7"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ly_Out_Standing.xlsx!Table1">
        <x15:activeTabTopLevelEntity name="[Table1]"/>
      </x15:pivotTableUISettings>
    </ext>
  </extLst>
</pivotTableDefinition>
</file>

<file path=xl/pivotTables/pivotTable2.xml><?xml version="1.0" encoding="utf-8"?>
<pivotTableDefinition xmlns="http://schemas.openxmlformats.org/spreadsheetml/2006/main" name="PivotTable1" cacheId="18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4">
  <location ref="A20:B28" firstHeaderRow="1" firstDataRow="1" firstDataCol="1"/>
  <pivotFields count="3">
    <pivotField axis="axisRow" allDrilled="1" showAll="0" dataSourceSort="1" defaultAttributeDrillState="1">
      <items count="5">
        <item x="0"/>
        <item x="1"/>
        <item x="2"/>
        <item x="3"/>
        <item t="default"/>
      </items>
    </pivotField>
    <pivotField axis="axisRow" allDrilled="1" showAll="0" dataSourceSort="1">
      <items count="8">
        <item x="0" e="0"/>
        <item x="1" e="0"/>
        <item x="2" e="0"/>
        <item x="3" e="0"/>
        <item x="4" e="0"/>
        <item x="5" e="0"/>
        <item x="6" e="0"/>
        <item t="default"/>
      </items>
    </pivotField>
    <pivotField dataField="1" showAll="0"/>
  </pivotFields>
  <rowFields count="2">
    <field x="1"/>
    <field x="0"/>
  </rowFields>
  <rowItems count="8">
    <i>
      <x/>
    </i>
    <i>
      <x v="1"/>
    </i>
    <i>
      <x v="2"/>
    </i>
    <i>
      <x v="3"/>
    </i>
    <i>
      <x v="4"/>
    </i>
    <i>
      <x v="5"/>
    </i>
    <i>
      <x v="6"/>
    </i>
    <i t="grand">
      <x/>
    </i>
  </rowItems>
  <colItems count="1">
    <i/>
  </colItems>
  <dataFields count="1">
    <dataField name="Sum of Difference_Rise" fld="2" baseField="0" baseItem="0" numFmtId="8"/>
  </dataFields>
  <chartFormats count="5">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1"/>
          </reference>
        </references>
      </pivotArea>
    </chartFormat>
  </chartFormats>
  <pivotHierarchies count="14">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ly_Out_Standing.xlsx!Table1">
        <x15:activeTabTopLevelEntity name="[Table1]"/>
      </x15:pivotTableUISettings>
    </ext>
  </extLst>
</pivotTableDefinition>
</file>

<file path=xl/pivotTables/pivotTable3.xml><?xml version="1.0" encoding="utf-8"?>
<pivotTableDefinition xmlns="http://schemas.openxmlformats.org/spreadsheetml/2006/main" name="PivotTable4" cacheId="18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2">
  <location ref="D21:E29" firstHeaderRow="1" firstDataRow="1" firstDataCol="1"/>
  <pivotFields count="2">
    <pivotField dataField="1" showAll="0"/>
    <pivotField axis="axisRow" allDrilled="1" showAll="0" dataSourceSort="1" defaultAttributeDrillState="1">
      <items count="8">
        <item x="0"/>
        <item x="1"/>
        <item x="2"/>
        <item x="3"/>
        <item x="4"/>
        <item x="5"/>
        <item x="6"/>
        <item t="default"/>
      </items>
    </pivotField>
  </pivotFields>
  <rowFields count="1">
    <field x="1"/>
  </rowFields>
  <rowItems count="8">
    <i>
      <x/>
    </i>
    <i>
      <x v="1"/>
    </i>
    <i>
      <x v="2"/>
    </i>
    <i>
      <x v="3"/>
    </i>
    <i>
      <x v="4"/>
    </i>
    <i>
      <x v="5"/>
    </i>
    <i>
      <x v="6"/>
    </i>
    <i t="grand">
      <x/>
    </i>
  </rowItems>
  <colItems count="1">
    <i/>
  </colItems>
  <dataFields count="1">
    <dataField name="Sum of Difference_Outstanding" fld="0" baseField="0" baseItem="0" numFmtId="8"/>
  </dataFields>
  <chartFormats count="3">
    <chartFormat chart="15"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ly_Out_Standing.xlsx!Table1">
        <x15:activeTabTopLevelEntity name="[Table1]"/>
      </x15:pivotTableUISettings>
    </ext>
  </extLst>
</pivotTableDefinition>
</file>

<file path=xl/pivotTables/pivotTable4.xml><?xml version="1.0" encoding="utf-8"?>
<pivotTableDefinition xmlns="http://schemas.openxmlformats.org/spreadsheetml/2006/main" name="PivotTable2" cacheId="18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
  <location ref="A2:D10" firstHeaderRow="0" firstDataRow="1" firstDataCol="1"/>
  <pivotFields count="5">
    <pivotField axis="axisRow" allDrilled="1" showAll="0" dataSourceSort="1" defaultAttributeDrillState="1">
      <items count="8">
        <item x="0"/>
        <item x="1"/>
        <item x="2"/>
        <item x="3"/>
        <item x="4"/>
        <item x="5"/>
        <item x="6"/>
        <item t="default"/>
      </items>
    </pivotField>
    <pivotField dataField="1" showAll="0"/>
    <pivotField dataField="1" showAll="0"/>
    <pivotField dataField="1" showAll="0"/>
    <pivotField allDrilled="1" showAll="0" dataSourceSort="1" defaultAttributeDrillState="1"/>
  </pivotFields>
  <rowFields count="1">
    <field x="0"/>
  </rowFields>
  <rowItems count="8">
    <i>
      <x/>
    </i>
    <i>
      <x v="1"/>
    </i>
    <i>
      <x v="2"/>
    </i>
    <i>
      <x v="3"/>
    </i>
    <i>
      <x v="4"/>
    </i>
    <i>
      <x v="5"/>
    </i>
    <i>
      <x v="6"/>
    </i>
    <i t="grand">
      <x/>
    </i>
  </rowItems>
  <colFields count="1">
    <field x="-2"/>
  </colFields>
  <colItems count="3">
    <i>
      <x/>
    </i>
    <i i="1">
      <x v="1"/>
    </i>
    <i i="2">
      <x v="2"/>
    </i>
  </colItems>
  <dataFields count="3">
    <dataField name="Sum of Outstanding" fld="1" baseField="0" baseItem="0"/>
    <dataField name="Sum of Difference_Outstanding" fld="2" baseField="0" baseItem="0"/>
    <dataField name="Sum of Difference_Rise" fld="3" baseField="0" baseItem="0"/>
  </dataFields>
  <pivotHierarchies count="14">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ly_Out_Standing.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 sourceName="[Table1].[Day]">
  <pivotTables>
    <pivotTable tabId="3" name="PivotTable3"/>
    <pivotTable tabId="3" name="PivotTable4"/>
    <pivotTable tabId="3" name="PivotTable2"/>
    <pivotTable tabId="3" name="PivotTable1"/>
  </pivotTables>
  <data>
    <olap pivotCacheId="10">
      <levels count="2">
        <level uniqueName="[Table1].[Day].[(All)]" sourceCaption="(All)" count="0"/>
        <level uniqueName="[Table1].[Day].[Day]" sourceCaption="Day" count="8">
          <ranges>
            <range startItem="0">
              <i n="[Table1].[Day].&amp;[2026-05-12T00:00:00]" c="12/05/2026"/>
              <i n="[Table1].[Day].&amp;[2026-05-13T00:00:00]" c="13/05/2026"/>
              <i n="[Table1].[Day].&amp;[2026-05-15T00:00:00]" c="15/05/2026"/>
              <i n="[Table1].[Day].&amp;[2026-05-16T00:00:00]" c="16/05/2026"/>
              <i n="[Table1].[Day].&amp;[2026-05-21T00:00:00]" c="21/05/2026"/>
              <i n="[Table1].[Day].&amp;[2026-05-24T00:00:00]" c="24/05/2026"/>
              <i n="[Table1].[Day].&amp;[2026-05-26T00:00:00]" c="26/05/2026"/>
              <i n="[Table1].[Day].&amp;[2026-05-14T00:00:00]" c="14/05/2026" nd="1"/>
            </range>
          </ranges>
        </level>
      </levels>
      <selections count="1">
        <selection n="[Table1].[Da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 cache="Slicer_Day" caption="Day"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ay 1" cache="Slicer_Day" caption="Day" level="1" style="SlicerStyleDark5" rowHeight="241300"/>
</slicers>
</file>

<file path=xl/tables/table1.xml><?xml version="1.0" encoding="utf-8"?>
<table xmlns="http://schemas.openxmlformats.org/spreadsheetml/2006/main" id="1" name="Table1" displayName="Table1" ref="A1:F9" totalsRowShown="0" headerRowDxfId="10" dataDxfId="9">
  <autoFilter ref="A1:F9"/>
  <tableColumns count="6">
    <tableColumn id="1" name="Db id" dataDxfId="8"/>
    <tableColumn id="22" name="Day" dataDxfId="7"/>
    <tableColumn id="3" name="Sales product" dataDxfId="2"/>
    <tableColumn id="2" name="Outstanding" dataDxfId="0"/>
    <tableColumn id="31" name="Difference_Outstanding" dataDxfId="1"/>
    <tableColumn id="5" name="Difference_Rise" dataDxfId="6"/>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C5" totalsRowShown="0">
  <autoFilter ref="A1:C5"/>
  <tableColumns count="3">
    <tableColumn id="1" name="ID" dataDxfId="5">
      <calculatedColumnFormula>ROW()-ROW(Table1[#Headers])</calculatedColumnFormula>
    </tableColumn>
    <tableColumn id="2" name="Day" dataDxfId="4"/>
    <tableColumn id="3" name="Collected" dataDxfId="3"/>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tabSelected="1" topLeftCell="D1" zoomScale="110" zoomScaleNormal="110" workbookViewId="0">
      <selection activeCell="E6" sqref="E6"/>
    </sheetView>
  </sheetViews>
  <sheetFormatPr defaultColWidth="29.7109375" defaultRowHeight="15" x14ac:dyDescent="0.25"/>
  <cols>
    <col min="1" max="3" width="29.7109375" style="1"/>
    <col min="4" max="5" width="29.7109375" style="3"/>
    <col min="6" max="6" width="33.85546875" style="1" customWidth="1"/>
    <col min="7" max="16384" width="29.7109375" style="1"/>
  </cols>
  <sheetData>
    <row r="1" spans="1:6" x14ac:dyDescent="0.25">
      <c r="A1" s="1" t="s">
        <v>0</v>
      </c>
      <c r="B1" s="1" t="s">
        <v>3</v>
      </c>
      <c r="C1" s="1" t="s">
        <v>1</v>
      </c>
      <c r="D1" s="3" t="s">
        <v>5</v>
      </c>
      <c r="E1" s="3" t="s">
        <v>4</v>
      </c>
      <c r="F1" s="3" t="s">
        <v>12</v>
      </c>
    </row>
    <row r="2" spans="1:6" x14ac:dyDescent="0.25">
      <c r="A2" s="1">
        <f>ROW()-ROW(Table1[#Headers])</f>
        <v>1</v>
      </c>
      <c r="B2" s="2">
        <v>46154</v>
      </c>
      <c r="C2" s="1" t="s">
        <v>2</v>
      </c>
      <c r="D2" s="3">
        <v>113539479</v>
      </c>
      <c r="E2" s="3">
        <f ca="1">IFERROR(OFFSET(Table1[[#This Row],[Outstanding]],-1,0) - Table1[[#This Row],[Outstanding]], 0)</f>
        <v>0</v>
      </c>
      <c r="F2" s="3">
        <v>0</v>
      </c>
    </row>
    <row r="3" spans="1:6" x14ac:dyDescent="0.25">
      <c r="A3" s="1">
        <f>ROW()-ROW(Table1[#Headers])</f>
        <v>2</v>
      </c>
      <c r="B3" s="2">
        <v>46155</v>
      </c>
      <c r="C3" s="1" t="s">
        <v>2</v>
      </c>
      <c r="D3" s="3">
        <v>113036646</v>
      </c>
      <c r="E3" s="3">
        <f ca="1">IFERROR(OFFSET(Table1[[#This Row],[Outstanding]],-1,0) - Table1[[#This Row],[Outstanding]], 0)</f>
        <v>502833</v>
      </c>
      <c r="F3" s="3">
        <f ca="1">SUM(Table1[[#This Row],[Difference_Outstanding]]-E2)</f>
        <v>502833</v>
      </c>
    </row>
    <row r="4" spans="1:6" x14ac:dyDescent="0.25">
      <c r="A4" s="4">
        <f>ROW()-ROW(Table1[#Headers])</f>
        <v>3</v>
      </c>
      <c r="B4" s="5">
        <v>46156</v>
      </c>
      <c r="C4" s="1" t="s">
        <v>2</v>
      </c>
      <c r="D4" s="6"/>
      <c r="E4" s="6"/>
      <c r="F4" s="6"/>
    </row>
    <row r="5" spans="1:6" x14ac:dyDescent="0.25">
      <c r="A5" s="1">
        <f>ROW()-ROW(Table1[#Headers])</f>
        <v>4</v>
      </c>
      <c r="B5" s="2">
        <v>46157</v>
      </c>
      <c r="C5" s="1" t="s">
        <v>2</v>
      </c>
      <c r="D5" s="7">
        <v>112353157</v>
      </c>
      <c r="E5" s="3">
        <f>SUM(D3-Table1[[#This Row],[Outstanding]])</f>
        <v>683489</v>
      </c>
      <c r="F5" s="3">
        <f ca="1">SUM(Table1[[#This Row],[Difference_Outstanding]]-E3)</f>
        <v>180656</v>
      </c>
    </row>
    <row r="6" spans="1:6" x14ac:dyDescent="0.25">
      <c r="A6" s="1">
        <f>ROW()-ROW(Table1[#Headers])</f>
        <v>5</v>
      </c>
      <c r="B6" s="2">
        <v>46158</v>
      </c>
      <c r="C6" s="1" t="s">
        <v>2</v>
      </c>
      <c r="D6" s="7">
        <v>111360014</v>
      </c>
      <c r="E6" s="3">
        <f>SUM(D5-Table1[[#This Row],[Outstanding]])</f>
        <v>993143</v>
      </c>
      <c r="F6" s="3">
        <f>SUM(Table1[[#This Row],[Difference_Outstanding]]-E5)</f>
        <v>309654</v>
      </c>
    </row>
    <row r="7" spans="1:6" x14ac:dyDescent="0.25">
      <c r="A7" s="1">
        <v>6</v>
      </c>
      <c r="B7" s="2">
        <v>46163</v>
      </c>
      <c r="C7" s="1" t="s">
        <v>2</v>
      </c>
      <c r="D7" s="7">
        <v>110262017</v>
      </c>
      <c r="E7" s="3">
        <f>SUM(D6-Table1[[#This Row],[Outstanding]])</f>
        <v>1097997</v>
      </c>
      <c r="F7" s="3">
        <f>SUM(Table1[[#This Row],[Difference_Outstanding]]-E6)</f>
        <v>104854</v>
      </c>
    </row>
    <row r="8" spans="1:6" x14ac:dyDescent="0.25">
      <c r="A8" s="1">
        <v>8</v>
      </c>
      <c r="B8" s="2">
        <v>46166</v>
      </c>
      <c r="C8" s="1" t="s">
        <v>2</v>
      </c>
      <c r="D8" s="3">
        <v>109501260</v>
      </c>
      <c r="E8" s="3">
        <f>SUM(D7-Table1[[#This Row],[Outstanding]])</f>
        <v>760757</v>
      </c>
      <c r="F8" s="3">
        <f>SUM(Table1[[#This Row],[Difference_Outstanding]]-E7)</f>
        <v>-337240</v>
      </c>
    </row>
    <row r="9" spans="1:6" x14ac:dyDescent="0.25">
      <c r="A9" s="1">
        <v>9</v>
      </c>
      <c r="B9" s="2">
        <v>46168</v>
      </c>
      <c r="C9" s="1" t="s">
        <v>2</v>
      </c>
      <c r="D9" s="7">
        <v>108785498</v>
      </c>
      <c r="E9" s="3">
        <f>SUM(D8-Table1[[#This Row],[Outstanding]])</f>
        <v>715762</v>
      </c>
      <c r="F9" s="3">
        <f>SUM(Table1[[#This Row],[Difference_Outstanding]]-E8)</f>
        <v>-44995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5" sqref="C5"/>
    </sheetView>
  </sheetViews>
  <sheetFormatPr defaultRowHeight="15" x14ac:dyDescent="0.25"/>
  <cols>
    <col min="1" max="2" width="33" style="1" customWidth="1"/>
    <col min="3" max="3" width="33" style="3" customWidth="1"/>
    <col min="5" max="5" width="9.140625" customWidth="1"/>
  </cols>
  <sheetData>
    <row r="1" spans="1:3" x14ac:dyDescent="0.25">
      <c r="A1" s="1" t="s">
        <v>7</v>
      </c>
      <c r="B1" s="1" t="s">
        <v>3</v>
      </c>
      <c r="C1" s="3" t="s">
        <v>6</v>
      </c>
    </row>
    <row r="2" spans="1:3" x14ac:dyDescent="0.25">
      <c r="A2" s="1">
        <f>ROW()-ROW(Table1[#Headers])</f>
        <v>1</v>
      </c>
      <c r="B2" s="2">
        <v>46154</v>
      </c>
      <c r="C2" s="3">
        <v>331600</v>
      </c>
    </row>
    <row r="3" spans="1:3" x14ac:dyDescent="0.25">
      <c r="A3" s="1">
        <f>ROW()-ROW(Table1[#Headers])</f>
        <v>2</v>
      </c>
      <c r="B3" s="2">
        <v>46155</v>
      </c>
      <c r="C3" s="3">
        <v>213600</v>
      </c>
    </row>
    <row r="4" spans="1:3" x14ac:dyDescent="0.25">
      <c r="A4" s="4">
        <f>ROW()-ROW(Table1[#Headers])</f>
        <v>3</v>
      </c>
      <c r="B4" s="5">
        <v>46156</v>
      </c>
      <c r="C4" s="6"/>
    </row>
    <row r="5" spans="1:3" x14ac:dyDescent="0.25">
      <c r="A5" s="1">
        <f>ROW()-ROW(Table1[#Headers])</f>
        <v>4</v>
      </c>
      <c r="B5" s="2">
        <v>46157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44"/>
  <sheetViews>
    <sheetView zoomScale="60" zoomScaleNormal="60" workbookViewId="0">
      <selection activeCell="B39" sqref="A36:B44"/>
    </sheetView>
  </sheetViews>
  <sheetFormatPr defaultRowHeight="15" x14ac:dyDescent="0.25"/>
  <cols>
    <col min="1" max="1" width="19.7109375" customWidth="1"/>
    <col min="2" max="2" width="31.85546875" customWidth="1"/>
    <col min="3" max="3" width="41.28515625" customWidth="1"/>
    <col min="4" max="4" width="31.85546875" customWidth="1"/>
    <col min="5" max="5" width="41.28515625" bestFit="1" customWidth="1"/>
    <col min="6" max="6" width="10.7109375" bestFit="1" customWidth="1"/>
    <col min="7" max="7" width="11.28515625" bestFit="1" customWidth="1"/>
  </cols>
  <sheetData>
    <row r="2" spans="1:4" x14ac:dyDescent="0.25">
      <c r="A2" s="9" t="s">
        <v>8</v>
      </c>
      <c r="B2" t="s">
        <v>10</v>
      </c>
      <c r="C2" t="s">
        <v>11</v>
      </c>
      <c r="D2" t="s">
        <v>13</v>
      </c>
    </row>
    <row r="3" spans="1:4" x14ac:dyDescent="0.25">
      <c r="A3" s="10">
        <v>1</v>
      </c>
      <c r="B3" s="8">
        <v>113539479</v>
      </c>
      <c r="C3" s="8">
        <v>0</v>
      </c>
      <c r="D3" s="8">
        <v>0</v>
      </c>
    </row>
    <row r="4" spans="1:4" x14ac:dyDescent="0.25">
      <c r="A4" s="10">
        <v>2</v>
      </c>
      <c r="B4" s="8">
        <v>113036646</v>
      </c>
      <c r="C4" s="8">
        <v>502833</v>
      </c>
      <c r="D4" s="8">
        <v>502833</v>
      </c>
    </row>
    <row r="5" spans="1:4" x14ac:dyDescent="0.25">
      <c r="A5" s="10">
        <v>4</v>
      </c>
      <c r="B5" s="8">
        <v>112353157</v>
      </c>
      <c r="C5" s="8">
        <v>683489</v>
      </c>
      <c r="D5" s="8">
        <v>180656</v>
      </c>
    </row>
    <row r="6" spans="1:4" x14ac:dyDescent="0.25">
      <c r="A6" s="10">
        <v>5</v>
      </c>
      <c r="B6" s="8">
        <v>111360014</v>
      </c>
      <c r="C6" s="8">
        <v>993143</v>
      </c>
      <c r="D6" s="8">
        <v>309654</v>
      </c>
    </row>
    <row r="7" spans="1:4" x14ac:dyDescent="0.25">
      <c r="A7" s="10">
        <v>6</v>
      </c>
      <c r="B7" s="8">
        <v>110262017</v>
      </c>
      <c r="C7" s="8">
        <v>1097997</v>
      </c>
      <c r="D7" s="8">
        <v>104854</v>
      </c>
    </row>
    <row r="8" spans="1:4" x14ac:dyDescent="0.25">
      <c r="A8" s="10">
        <v>8</v>
      </c>
      <c r="B8" s="8">
        <v>109501260</v>
      </c>
      <c r="C8" s="8">
        <v>760757</v>
      </c>
      <c r="D8" s="8">
        <v>-337240</v>
      </c>
    </row>
    <row r="9" spans="1:4" x14ac:dyDescent="0.25">
      <c r="A9" s="10">
        <v>9</v>
      </c>
      <c r="B9" s="8">
        <v>108785498</v>
      </c>
      <c r="C9" s="8">
        <v>715762</v>
      </c>
      <c r="D9" s="8">
        <v>-44995</v>
      </c>
    </row>
    <row r="10" spans="1:4" x14ac:dyDescent="0.25">
      <c r="A10" s="10" t="s">
        <v>9</v>
      </c>
      <c r="B10" s="8">
        <v>778838071</v>
      </c>
      <c r="C10" s="8">
        <v>4753981</v>
      </c>
      <c r="D10" s="8">
        <v>715762</v>
      </c>
    </row>
    <row r="20" spans="1:5" x14ac:dyDescent="0.25">
      <c r="A20" s="9" t="s">
        <v>8</v>
      </c>
      <c r="B20" t="s">
        <v>13</v>
      </c>
    </row>
    <row r="21" spans="1:5" x14ac:dyDescent="0.25">
      <c r="A21" s="11">
        <v>46154</v>
      </c>
      <c r="B21" s="12">
        <v>0</v>
      </c>
      <c r="D21" s="9" t="s">
        <v>8</v>
      </c>
      <c r="E21" t="s">
        <v>11</v>
      </c>
    </row>
    <row r="22" spans="1:5" x14ac:dyDescent="0.25">
      <c r="A22" s="11">
        <v>46155</v>
      </c>
      <c r="B22" s="12">
        <v>502833</v>
      </c>
      <c r="D22" s="11">
        <v>46154</v>
      </c>
      <c r="E22" s="12">
        <v>0</v>
      </c>
    </row>
    <row r="23" spans="1:5" x14ac:dyDescent="0.25">
      <c r="A23" s="11">
        <v>46157</v>
      </c>
      <c r="B23" s="12">
        <v>180656</v>
      </c>
      <c r="D23" s="11">
        <v>46155</v>
      </c>
      <c r="E23" s="12">
        <v>502833</v>
      </c>
    </row>
    <row r="24" spans="1:5" x14ac:dyDescent="0.25">
      <c r="A24" s="11">
        <v>46158</v>
      </c>
      <c r="B24" s="12">
        <v>309654</v>
      </c>
      <c r="D24" s="11">
        <v>46157</v>
      </c>
      <c r="E24" s="12">
        <v>683489</v>
      </c>
    </row>
    <row r="25" spans="1:5" x14ac:dyDescent="0.25">
      <c r="A25" s="11">
        <v>46163</v>
      </c>
      <c r="B25" s="12">
        <v>104854</v>
      </c>
      <c r="D25" s="11">
        <v>46158</v>
      </c>
      <c r="E25" s="12">
        <v>993143</v>
      </c>
    </row>
    <row r="26" spans="1:5" x14ac:dyDescent="0.25">
      <c r="A26" s="11">
        <v>46166</v>
      </c>
      <c r="B26" s="12">
        <v>-337240</v>
      </c>
      <c r="D26" s="11">
        <v>46163</v>
      </c>
      <c r="E26" s="12">
        <v>1097997</v>
      </c>
    </row>
    <row r="27" spans="1:5" x14ac:dyDescent="0.25">
      <c r="A27" s="11">
        <v>46168</v>
      </c>
      <c r="B27" s="12">
        <v>-44995</v>
      </c>
      <c r="D27" s="11">
        <v>46166</v>
      </c>
      <c r="E27" s="12">
        <v>760757</v>
      </c>
    </row>
    <row r="28" spans="1:5" x14ac:dyDescent="0.25">
      <c r="A28" s="10" t="s">
        <v>9</v>
      </c>
      <c r="B28" s="12">
        <v>715762</v>
      </c>
      <c r="D28" s="11">
        <v>46168</v>
      </c>
      <c r="E28" s="12">
        <v>715762</v>
      </c>
    </row>
    <row r="29" spans="1:5" x14ac:dyDescent="0.25">
      <c r="D29" s="10" t="s">
        <v>9</v>
      </c>
      <c r="E29" s="12">
        <v>4753981</v>
      </c>
    </row>
    <row r="36" spans="1:2" x14ac:dyDescent="0.25">
      <c r="A36" s="9" t="s">
        <v>8</v>
      </c>
      <c r="B36" t="s">
        <v>11</v>
      </c>
    </row>
    <row r="37" spans="1:2" x14ac:dyDescent="0.25">
      <c r="A37" s="11">
        <v>46154</v>
      </c>
      <c r="B37" s="12">
        <v>0</v>
      </c>
    </row>
    <row r="38" spans="1:2" x14ac:dyDescent="0.25">
      <c r="A38" s="11">
        <v>46155</v>
      </c>
      <c r="B38" s="12">
        <v>502833</v>
      </c>
    </row>
    <row r="39" spans="1:2" x14ac:dyDescent="0.25">
      <c r="A39" s="11">
        <v>46157</v>
      </c>
      <c r="B39" s="12">
        <v>683489</v>
      </c>
    </row>
    <row r="40" spans="1:2" x14ac:dyDescent="0.25">
      <c r="A40" s="11">
        <v>46158</v>
      </c>
      <c r="B40" s="12">
        <v>993143</v>
      </c>
    </row>
    <row r="41" spans="1:2" x14ac:dyDescent="0.25">
      <c r="A41" s="11">
        <v>46163</v>
      </c>
      <c r="B41" s="12">
        <v>1097997</v>
      </c>
    </row>
    <row r="42" spans="1:2" x14ac:dyDescent="0.25">
      <c r="A42" s="11">
        <v>46166</v>
      </c>
      <c r="B42" s="12">
        <v>760757</v>
      </c>
    </row>
    <row r="43" spans="1:2" x14ac:dyDescent="0.25">
      <c r="A43" s="11">
        <v>46168</v>
      </c>
      <c r="B43" s="12">
        <v>715762</v>
      </c>
    </row>
    <row r="44" spans="1:2" x14ac:dyDescent="0.25">
      <c r="A44" s="10" t="s">
        <v>9</v>
      </c>
      <c r="B44" s="12">
        <v>4753981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11" zoomScale="60" zoomScaleNormal="60" workbookViewId="0">
      <selection activeCell="F51" sqref="A1:XFD1048576"/>
    </sheetView>
  </sheetViews>
  <sheetFormatPr defaultRowHeight="15" x14ac:dyDescent="0.25"/>
  <cols>
    <col min="1" max="16384" width="9.140625" style="1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Collected</vt:lpstr>
      <vt:lpstr>PIVOT</vt:lpstr>
      <vt:lpstr>DASH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Bright paipila</dc:creator>
  <cp:lastModifiedBy>Bright paipila</cp:lastModifiedBy>
  <dcterms:created xsi:type="dcterms:W3CDTF">2026-05-13T06:57:42Z</dcterms:created>
  <dcterms:modified xsi:type="dcterms:W3CDTF">2026-05-26T21:39:39Z</dcterms:modified>
</cp:coreProperties>
</file>