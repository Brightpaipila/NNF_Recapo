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D:\Work\RECAPO\Code Base\NNF_Recapo\data\"/>
    </mc:Choice>
  </mc:AlternateContent>
  <bookViews>
    <workbookView xWindow="0" yWindow="0" windowWidth="20460" windowHeight="7470" activeTab="3"/>
  </bookViews>
  <sheets>
    <sheet name="Dashboard" sheetId="1" r:id="rId1"/>
    <sheet name="Collected" sheetId="2" r:id="rId2"/>
    <sheet name="PIVOT" sheetId="3" r:id="rId3"/>
    <sheet name="DASH" sheetId="4" r:id="rId4"/>
  </sheets>
  <definedNames>
    <definedName name="_xlcn.WorksheetConnection_Daily_Out_Standing.xlsxTable11" hidden="1">Table1[]</definedName>
    <definedName name="Slicer_Day">#N/A</definedName>
  </definedNames>
  <calcPr calcId="162913"/>
  <pivotCaches>
    <pivotCache cacheId="202" r:id="rId5"/>
    <pivotCache cacheId="205" r:id="rId6"/>
    <pivotCache cacheId="208" r:id="rId7"/>
    <pivotCache cacheId="211" r:id="rId8"/>
  </pivotCaches>
  <extLst>
    <ext xmlns:x14="http://schemas.microsoft.com/office/spreadsheetml/2009/9/main" uri="{876F7934-8845-4945-9796-88D515C7AA90}">
      <x14:pivotCaches>
        <pivotCache cacheId="201" r:id="rId9"/>
      </x14:pivotCaches>
    </ex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Daily_Out_Standing.xlsx!Table1"/>
        </x15:modelTables>
      </x15:dataModel>
    </ext>
  </extLst>
</workbook>
</file>

<file path=xl/calcChain.xml><?xml version="1.0" encoding="utf-8"?>
<calcChain xmlns="http://schemas.openxmlformats.org/spreadsheetml/2006/main">
  <c r="F6" i="1" l="1"/>
  <c r="E6" i="1"/>
  <c r="A6" i="1"/>
  <c r="E5" i="1" l="1"/>
  <c r="A3" i="1" l="1"/>
  <c r="A4" i="1"/>
  <c r="A5" i="1"/>
  <c r="A2" i="1"/>
  <c r="A4" i="2"/>
  <c r="A5" i="2"/>
  <c r="A3" i="2" l="1"/>
  <c r="A2" i="2"/>
  <c r="E3" i="1" l="1"/>
  <c r="F5" i="1" s="1"/>
  <c r="E2" i="1"/>
  <c r="F3" i="1" l="1"/>
</calcChain>
</file>

<file path=xl/connections.xml><?xml version="1.0" encoding="utf-8"?>
<connections xmlns="http://schemas.openxmlformats.org/spreadsheetml/2006/main">
  <connection id="1"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name="WorksheetConnection_Daily_Out_Standing.xlsx!Table1" type="102" refreshedVersion="6" minRefreshableVersion="5">
    <extLst>
      <ext xmlns:x15="http://schemas.microsoft.com/office/spreadsheetml/2010/11/main" uri="{DE250136-89BD-433C-8126-D09CA5730AF9}">
        <x15:connection id="Table1" autoDelete="1">
          <x15:rangePr sourceName="_xlcn.WorksheetConnection_Daily_Out_Standing.xlsxTable11"/>
        </x15:connection>
      </ext>
    </extLst>
  </connection>
</connections>
</file>

<file path=xl/sharedStrings.xml><?xml version="1.0" encoding="utf-8"?>
<sst xmlns="http://schemas.openxmlformats.org/spreadsheetml/2006/main" count="28" uniqueCount="14">
  <si>
    <t>Db id</t>
  </si>
  <si>
    <t>Sales product</t>
  </si>
  <si>
    <t>MySol NEO 2</t>
  </si>
  <si>
    <t>Day</t>
  </si>
  <si>
    <t>Difference_Outstanding</t>
  </si>
  <si>
    <t>Outstanding</t>
  </si>
  <si>
    <t>Collected</t>
  </si>
  <si>
    <t>ID</t>
  </si>
  <si>
    <t>Row Labels</t>
  </si>
  <si>
    <t>Grand Total</t>
  </si>
  <si>
    <t>Sum of Outstanding</t>
  </si>
  <si>
    <t>Sum of Difference_Outstanding</t>
  </si>
  <si>
    <t>Difference_Rise</t>
  </si>
  <si>
    <t>Sum of Difference_Rise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</si>
</sst>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8" formatCode="&quot;MK&quot;#,##0.00;[Red]\-&quot;MK&quot;#,##0.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3">
    <xf numFmtId="0" fontId="0" fillId="0" borderId="0" xfId="0"/>
    <xf numFmtId="0" fontId="0" fillId="0" borderId="0" xfId="0" applyAlignment="1">
      <alignment horizontal="center"/>
    </xf>
    <xf numFmtId="14" fontId="0" fillId="0" borderId="0" xfId="0" applyNumberFormat="1" applyAlignment="1">
      <alignment horizontal="center"/>
    </xf>
    <xf numFmtId="8" fontId="0" fillId="0" borderId="0" xfId="0" applyNumberFormat="1" applyAlignment="1">
      <alignment horizontal="center"/>
    </xf>
    <xf numFmtId="0" fontId="0" fillId="33" borderId="0" xfId="0" applyFill="1" applyAlignment="1">
      <alignment horizontal="center"/>
    </xf>
    <xf numFmtId="14" fontId="0" fillId="33" borderId="0" xfId="0" applyNumberFormat="1" applyFill="1" applyAlignment="1">
      <alignment horizontal="center"/>
    </xf>
    <xf numFmtId="8" fontId="0" fillId="33" borderId="0" xfId="0" applyNumberFormat="1" applyFill="1" applyAlignment="1">
      <alignment horizontal="center"/>
    </xf>
    <xf numFmtId="8" fontId="0" fillId="0" borderId="0" xfId="0" applyNumberFormat="1" applyAlignment="1">
      <alignment horizontal="center" vertical="center" wrapText="1"/>
    </xf>
    <xf numFmtId="0" fontId="0" fillId="0" borderId="0" xfId="0" applyNumberFormat="1"/>
    <xf numFmtId="0" fontId="0" fillId="0" borderId="0" xfId="0" pivotButton="1"/>
    <xf numFmtId="0" fontId="0" fillId="0" borderId="0" xfId="0" applyAlignment="1">
      <alignment horizontal="left"/>
    </xf>
    <xf numFmtId="14" fontId="0" fillId="0" borderId="0" xfId="0" applyNumberFormat="1" applyAlignment="1">
      <alignment horizontal="left"/>
    </xf>
    <xf numFmtId="8"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
    <dxf>
      <alignment horizontal="center" vertical="bottom" textRotation="0" wrapText="0" indent="0" justifyLastLine="0" shrinkToFit="0" readingOrder="0"/>
    </dxf>
    <dxf>
      <numFmt numFmtId="12" formatCode="&quot;MK&quot;#,##0.00;[Red]\-&quot;MK&quot;#,##0.00"/>
      <alignment horizontal="center" vertical="bottom" textRotation="0" wrapText="0" indent="0" justifyLastLine="0" shrinkToFit="0" readingOrder="0"/>
    </dxf>
    <dxf>
      <numFmt numFmtId="12" formatCode="&quot;MK&quot;#,##0.00;[Red]\-&quot;MK&quot;#,##0.00"/>
      <alignment horizontal="center" vertical="bottom" textRotation="0" wrapText="0" indent="0" justifyLastLine="0" shrinkToFit="0" readingOrder="0"/>
    </dxf>
    <dxf>
      <alignment horizontal="center" vertical="bottom" textRotation="0" wrapText="0" indent="0" justifyLastLine="0" shrinkToFit="0" readingOrder="0"/>
    </dxf>
    <dxf>
      <numFmt numFmtId="12" formatCode="&quot;MK&quot;#,##0.00;[Red]\-&quot;MK&quot;#,##0.00"/>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powerPivotData" Target="model/item.data"/><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[Daily_Out_Standing.xlsx]PIVOT!PivotTable4</c:name>
    <c:fmtId val="15"/>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PIVOT!$E$10</c:f>
              <c:strCache>
                <c:ptCount val="1"/>
                <c:pt idx="0">
                  <c:v>Total</c:v>
                </c:pt>
              </c:strCache>
            </c:strRef>
          </c:tx>
          <c:spPr>
            <a:solidFill>
              <a:schemeClr val="accent1"/>
            </a:solidFill>
            <a:ln>
              <a:noFill/>
            </a:ln>
            <a:effectLst/>
          </c:spPr>
          <c:invertIfNegative val="0"/>
          <c:cat>
            <c:strRef>
              <c:f>PIVOT!$D$11:$D$15</c:f>
              <c:strCache>
                <c:ptCount val="4"/>
                <c:pt idx="0">
                  <c:v>12/05/2026</c:v>
                </c:pt>
                <c:pt idx="1">
                  <c:v>13/05/2026</c:v>
                </c:pt>
                <c:pt idx="2">
                  <c:v>15/05/2026</c:v>
                </c:pt>
                <c:pt idx="3">
                  <c:v>16/05/2026</c:v>
                </c:pt>
              </c:strCache>
            </c:strRef>
          </c:cat>
          <c:val>
            <c:numRef>
              <c:f>PIVOT!$E$11:$E$15</c:f>
              <c:numCache>
                <c:formatCode>"MK"#,##0.00_);[Red]\("MK"#,##0.00\)</c:formatCode>
                <c:ptCount val="4"/>
                <c:pt idx="0">
                  <c:v>0</c:v>
                </c:pt>
                <c:pt idx="1">
                  <c:v>502833</c:v>
                </c:pt>
                <c:pt idx="2">
                  <c:v>683489</c:v>
                </c:pt>
                <c:pt idx="3">
                  <c:v>993143</c:v>
                </c:pt>
              </c:numCache>
            </c:numRef>
          </c:val>
          <c:extLst>
            <c:ext xmlns:c16="http://schemas.microsoft.com/office/drawing/2014/chart" uri="{C3380CC4-5D6E-409C-BE32-E72D297353CC}">
              <c16:uniqueId val="{00000000-E82C-4B79-BB38-6CA7BE73A62C}"/>
            </c:ext>
          </c:extLst>
        </c:ser>
        <c:dLbls>
          <c:showLegendKey val="0"/>
          <c:showVal val="0"/>
          <c:showCatName val="0"/>
          <c:showSerName val="0"/>
          <c:showPercent val="0"/>
          <c:showBubbleSize val="0"/>
        </c:dLbls>
        <c:gapWidth val="182"/>
        <c:axId val="1601924495"/>
        <c:axId val="1601921999"/>
      </c:barChart>
      <c:catAx>
        <c:axId val="16019244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21999"/>
        <c:crosses val="autoZero"/>
        <c:auto val="1"/>
        <c:lblAlgn val="ctr"/>
        <c:lblOffset val="100"/>
        <c:noMultiLvlLbl val="0"/>
      </c:catAx>
      <c:valAx>
        <c:axId val="1601921999"/>
        <c:scaling>
          <c:orientation val="minMax"/>
        </c:scaling>
        <c:delete val="0"/>
        <c:axPos val="b"/>
        <c:majorGridlines>
          <c:spPr>
            <a:ln w="9525" cap="flat" cmpd="sng" algn="ctr">
              <a:solidFill>
                <a:schemeClr val="tx1">
                  <a:lumMod val="15000"/>
                  <a:lumOff val="85000"/>
                </a:schemeClr>
              </a:solidFill>
              <a:round/>
            </a:ln>
            <a:effectLst/>
          </c:spPr>
        </c:majorGridlines>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2449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[Daily_Out_Standing.xlsx]PIVOT!PivotTable3</c:name>
    <c:fmtId val="13"/>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PIVOT!$B$10</c:f>
              <c:strCache>
                <c:ptCount val="1"/>
                <c:pt idx="0">
                  <c:v>Total</c:v>
                </c:pt>
              </c:strCache>
            </c:strRef>
          </c:tx>
          <c:spPr>
            <a:solidFill>
              <a:schemeClr val="accent1"/>
            </a:solidFill>
            <a:ln>
              <a:noFill/>
            </a:ln>
            <a:effectLst/>
          </c:spPr>
          <c:invertIfNegative val="0"/>
          <c:cat>
            <c:strRef>
              <c:f>PIVOT!$A$11:$A$15</c:f>
              <c:strCache>
                <c:ptCount val="4"/>
                <c:pt idx="0">
                  <c:v>12/05/2026</c:v>
                </c:pt>
                <c:pt idx="1">
                  <c:v>13/05/2026</c:v>
                </c:pt>
                <c:pt idx="2">
                  <c:v>15/05/2026</c:v>
                </c:pt>
                <c:pt idx="3">
                  <c:v>16/05/2026</c:v>
                </c:pt>
              </c:strCache>
            </c:strRef>
          </c:cat>
          <c:val>
            <c:numRef>
              <c:f>PIVOT!$B$11:$B$15</c:f>
              <c:numCache>
                <c:formatCode>"MK"#,##0.00_);[Red]\("MK"#,##0.00\)</c:formatCode>
                <c:ptCount val="4"/>
                <c:pt idx="0">
                  <c:v>0</c:v>
                </c:pt>
                <c:pt idx="1">
                  <c:v>502833</c:v>
                </c:pt>
                <c:pt idx="2">
                  <c:v>683489</c:v>
                </c:pt>
                <c:pt idx="3">
                  <c:v>993143</c:v>
                </c:pt>
              </c:numCache>
            </c:numRef>
          </c:val>
          <c:extLst>
            <c:ext xmlns:c16="http://schemas.microsoft.com/office/drawing/2014/chart" uri="{C3380CC4-5D6E-409C-BE32-E72D297353CC}">
              <c16:uniqueId val="{00000000-FD9B-40FE-B222-4CAD0A2119E0}"/>
            </c:ext>
          </c:extLst>
        </c:ser>
        <c:dLbls>
          <c:showLegendKey val="0"/>
          <c:showVal val="0"/>
          <c:showCatName val="0"/>
          <c:showSerName val="0"/>
          <c:showPercent val="0"/>
          <c:showBubbleSize val="0"/>
        </c:dLbls>
        <c:gapWidth val="219"/>
        <c:overlap val="-27"/>
        <c:axId val="483106432"/>
        <c:axId val="483104768"/>
      </c:barChart>
      <c:catAx>
        <c:axId val="48310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104768"/>
        <c:crosses val="autoZero"/>
        <c:auto val="1"/>
        <c:lblAlgn val="ctr"/>
        <c:lblOffset val="100"/>
        <c:noMultiLvlLbl val="0"/>
      </c:catAx>
      <c:valAx>
        <c:axId val="483104768"/>
        <c:scaling>
          <c:orientation val="minMax"/>
        </c:scaling>
        <c:delete val="0"/>
        <c:axPos val="l"/>
        <c:majorGridlines>
          <c:spPr>
            <a:ln w="9525" cap="flat" cmpd="sng" algn="ctr">
              <a:solidFill>
                <a:schemeClr val="tx1">
                  <a:lumMod val="15000"/>
                  <a:lumOff val="85000"/>
                </a:schemeClr>
              </a:solidFill>
              <a:round/>
            </a:ln>
            <a:effectLst/>
          </c:spPr>
        </c:majorGridlines>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10643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[Daily_Out_Standing.xlsx]PIVOT!PivotTable1</c:name>
    <c:fmtId val="2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PIVOT!$B$20</c:f>
              <c:strCache>
                <c:ptCount val="1"/>
                <c:pt idx="0">
                  <c:v>Total</c:v>
                </c:pt>
              </c:strCache>
            </c:strRef>
          </c:tx>
          <c:spPr>
            <a:ln w="28575" cap="rnd">
              <a:solidFill>
                <a:schemeClr val="accent1"/>
              </a:solidFill>
              <a:round/>
            </a:ln>
            <a:effectLst/>
          </c:spPr>
          <c:marker>
            <c:symbol val="none"/>
          </c:marker>
          <c:cat>
            <c:strRef>
              <c:f>PIVOT!$A$21:$A$25</c:f>
              <c:strCache>
                <c:ptCount val="4"/>
                <c:pt idx="0">
                  <c:v>12/05/2026</c:v>
                </c:pt>
                <c:pt idx="1">
                  <c:v>13/05/2026</c:v>
                </c:pt>
                <c:pt idx="2">
                  <c:v>15/05/2026</c:v>
                </c:pt>
                <c:pt idx="3">
                  <c:v>16/05/2026</c:v>
                </c:pt>
              </c:strCache>
            </c:strRef>
          </c:cat>
          <c:val>
            <c:numRef>
              <c:f>PIVOT!$B$21:$B$25</c:f>
              <c:numCache>
                <c:formatCode>"MK"#,##0.00_);[Red]\("MK"#,##0.00\)</c:formatCode>
                <c:ptCount val="4"/>
                <c:pt idx="0">
                  <c:v>0</c:v>
                </c:pt>
                <c:pt idx="1">
                  <c:v>502833</c:v>
                </c:pt>
                <c:pt idx="2">
                  <c:v>180656</c:v>
                </c:pt>
                <c:pt idx="3">
                  <c:v>309654</c:v>
                </c:pt>
              </c:numCache>
            </c:numRef>
          </c:val>
          <c:smooth val="0"/>
          <c:extLst>
            <c:ext xmlns:c16="http://schemas.microsoft.com/office/drawing/2014/chart" uri="{C3380CC4-5D6E-409C-BE32-E72D297353CC}">
              <c16:uniqueId val="{00000001-8898-405C-8355-17B7DC39487A}"/>
            </c:ext>
          </c:extLst>
        </c:ser>
        <c:dLbls>
          <c:showLegendKey val="0"/>
          <c:showVal val="0"/>
          <c:showCatName val="0"/>
          <c:showSerName val="0"/>
          <c:showPercent val="0"/>
          <c:showBubbleSize val="0"/>
        </c:dLbls>
        <c:smooth val="0"/>
        <c:axId val="199646304"/>
        <c:axId val="199652128"/>
      </c:lineChart>
      <c:catAx>
        <c:axId val="19964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52128"/>
        <c:crosses val="autoZero"/>
        <c:auto val="1"/>
        <c:lblAlgn val="ctr"/>
        <c:lblOffset val="100"/>
        <c:noMultiLvlLbl val="0"/>
      </c:catAx>
      <c:valAx>
        <c:axId val="199652128"/>
        <c:scaling>
          <c:orientation val="minMax"/>
        </c:scaling>
        <c:delete val="0"/>
        <c:axPos val="l"/>
        <c:majorGridlines>
          <c:spPr>
            <a:ln w="9525" cap="flat" cmpd="sng" algn="ctr">
              <a:solidFill>
                <a:schemeClr val="tx1">
                  <a:lumMod val="15000"/>
                  <a:lumOff val="85000"/>
                </a:schemeClr>
              </a:solidFill>
              <a:round/>
            </a:ln>
            <a:effectLst/>
          </c:spPr>
        </c:majorGridlines>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4630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[Daily_Out_Standing.xlsx]PIVOT!PivotTable4</c:name>
    <c:fmtId val="18"/>
  </c:pivotSource>
  <c:chart>
    <c:autoTitleDeleted val="1"/>
    <c:pivotFmts>
      <c:pivotFmt>
        <c:idx val="0"/>
      </c:pivotFmt>
      <c:pivotFmt>
        <c:idx val="1"/>
      </c:pivotFmt>
      <c:pivotFmt>
        <c:idx val="2"/>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8.8538567334615528E-2"/>
          <c:y val="7.496112281739431E-2"/>
          <c:w val="0.80572649713149114"/>
          <c:h val="0.76730324202432443"/>
        </c:manualLayout>
      </c:layout>
      <c:barChart>
        <c:barDir val="bar"/>
        <c:grouping val="clustered"/>
        <c:varyColors val="0"/>
        <c:ser>
          <c:idx val="0"/>
          <c:order val="0"/>
          <c:tx>
            <c:strRef>
              <c:f>PIVOT!$E$10</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PIVOT!$D$11:$D$15</c:f>
              <c:strCache>
                <c:ptCount val="4"/>
                <c:pt idx="0">
                  <c:v>12/05/2026</c:v>
                </c:pt>
                <c:pt idx="1">
                  <c:v>13/05/2026</c:v>
                </c:pt>
                <c:pt idx="2">
                  <c:v>15/05/2026</c:v>
                </c:pt>
                <c:pt idx="3">
                  <c:v>16/05/2026</c:v>
                </c:pt>
              </c:strCache>
            </c:strRef>
          </c:cat>
          <c:val>
            <c:numRef>
              <c:f>PIVOT!$E$11:$E$15</c:f>
              <c:numCache>
                <c:formatCode>"MK"#,##0.00_);[Red]\("MK"#,##0.00\)</c:formatCode>
                <c:ptCount val="4"/>
                <c:pt idx="0">
                  <c:v>0</c:v>
                </c:pt>
                <c:pt idx="1">
                  <c:v>502833</c:v>
                </c:pt>
                <c:pt idx="2">
                  <c:v>683489</c:v>
                </c:pt>
                <c:pt idx="3">
                  <c:v>993143</c:v>
                </c:pt>
              </c:numCache>
            </c:numRef>
          </c:val>
          <c:extLst>
            <c:ext xmlns:c16="http://schemas.microsoft.com/office/drawing/2014/chart" uri="{C3380CC4-5D6E-409C-BE32-E72D297353CC}">
              <c16:uniqueId val="{00000000-5558-411E-A426-E235EA0C9F7E}"/>
            </c:ext>
          </c:extLst>
        </c:ser>
        <c:dLbls>
          <c:showLegendKey val="0"/>
          <c:showVal val="0"/>
          <c:showCatName val="0"/>
          <c:showSerName val="0"/>
          <c:showPercent val="0"/>
          <c:showBubbleSize val="0"/>
        </c:dLbls>
        <c:gapWidth val="326"/>
        <c:overlap val="-58"/>
        <c:axId val="1601924495"/>
        <c:axId val="1601921999"/>
      </c:barChart>
      <c:catAx>
        <c:axId val="1601924495"/>
        <c:scaling>
          <c:orientation val="minMax"/>
        </c:scaling>
        <c:delete val="0"/>
        <c:axPos val="l"/>
        <c:numFmt formatCode="General" sourceLinked="1"/>
        <c:majorTickMark val="none"/>
        <c:minorTickMark val="none"/>
        <c:tickLblPos val="nextTo"/>
        <c:spPr>
          <a:noFill/>
          <a:ln w="19050"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21999"/>
        <c:crosses val="autoZero"/>
        <c:auto val="1"/>
        <c:lblAlgn val="ctr"/>
        <c:lblOffset val="100"/>
        <c:noMultiLvlLbl val="0"/>
      </c:catAx>
      <c:valAx>
        <c:axId val="1601921999"/>
        <c:scaling>
          <c:orientation val="minMax"/>
        </c:scaling>
        <c:delete val="0"/>
        <c:axPos val="b"/>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24495"/>
        <c:crosses val="autoZero"/>
        <c:crossBetween val="between"/>
      </c:valAx>
      <c:spPr>
        <a:noFill/>
        <a:ln>
          <a:noFill/>
        </a:ln>
        <a:effectLst/>
      </c:spPr>
    </c:plotArea>
    <c:plotVisOnly val="1"/>
    <c:dispBlanksAs val="gap"/>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[Daily_Out_Standing.xlsx]PIVOT!PivotTable3</c:name>
    <c:fmtId val="16"/>
  </c:pivotSource>
  <c:chart>
    <c:title>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pivotFmt>
      <c:pivotFmt>
        <c:idx val="1"/>
      </c:pivotFmt>
      <c:pivotFmt>
        <c:idx val="2"/>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dLbl>
          <c:idx val="0"/>
          <c:layout/>
          <c:tx>
            <c:rich>
              <a:bodyPr rot="0" spcFirstLastPara="1" vertOverflow="ellipsis" vert="horz" wrap="square" lIns="38100" tIns="19050" rIns="38100" bIns="19050" anchor="ctr" anchorCtr="1">
                <a:spAutoFit/>
              </a:bodyPr>
              <a:lstStyle/>
              <a:p>
                <a:pPr>
                  <a:defRPr sz="1500" b="0" i="0" u="none" strike="noStrike" kern="1200" baseline="0">
                    <a:solidFill>
                      <a:schemeClr val="tx2"/>
                    </a:solidFill>
                    <a:latin typeface="+mn-lt"/>
                    <a:ea typeface="+mn-ea"/>
                    <a:cs typeface="+mn-cs"/>
                  </a:defRPr>
                </a:pPr>
                <a:fld id="{B8635B81-8830-4591-9F21-02E57C20B3FF}" type="VALUE">
                  <a:rPr lang="en-US"/>
                  <a:pPr>
                    <a:defRPr sz="1500" baseline="0"/>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15:dlblFieldTable/>
              <c15:showDataLabelsRange val="0"/>
            </c:ext>
          </c:extLst>
        </c:dLbl>
      </c:pivotFmt>
    </c:pivotFmts>
    <c:plotArea>
      <c:layout/>
      <c:barChart>
        <c:barDir val="col"/>
        <c:grouping val="clustered"/>
        <c:varyColors val="0"/>
        <c:ser>
          <c:idx val="0"/>
          <c:order val="0"/>
          <c:tx>
            <c:strRef>
              <c:f>PIVOT!$B$10</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dLbls>
            <c:dLbl>
              <c:idx val="3"/>
              <c:layout/>
              <c:tx>
                <c:rich>
                  <a:bodyPr/>
                  <a:lstStyle/>
                  <a:p>
                    <a:fld id="{B8635B81-8830-4591-9F21-02E57C20B3FF}"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layout/>
                  <c15:dlblFieldTable/>
                  <c15:showDataLabelsRange val="0"/>
                </c:ext>
              </c:extLst>
            </c:dLbl>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strRef>
              <c:f>PIVOT!$A$11:$A$15</c:f>
              <c:strCache>
                <c:ptCount val="4"/>
                <c:pt idx="0">
                  <c:v>12/05/2026</c:v>
                </c:pt>
                <c:pt idx="1">
                  <c:v>13/05/2026</c:v>
                </c:pt>
                <c:pt idx="2">
                  <c:v>15/05/2026</c:v>
                </c:pt>
                <c:pt idx="3">
                  <c:v>16/05/2026</c:v>
                </c:pt>
              </c:strCache>
            </c:strRef>
          </c:cat>
          <c:val>
            <c:numRef>
              <c:f>PIVOT!$B$11:$B$15</c:f>
              <c:numCache>
                <c:formatCode>"MK"#,##0.00_);[Red]\("MK"#,##0.00\)</c:formatCode>
                <c:ptCount val="4"/>
                <c:pt idx="0">
                  <c:v>0</c:v>
                </c:pt>
                <c:pt idx="1">
                  <c:v>502833</c:v>
                </c:pt>
                <c:pt idx="2">
                  <c:v>683489</c:v>
                </c:pt>
                <c:pt idx="3">
                  <c:v>993143</c:v>
                </c:pt>
              </c:numCache>
            </c:numRef>
          </c:val>
          <c:extLst>
            <c:ext xmlns:c16="http://schemas.microsoft.com/office/drawing/2014/chart" uri="{C3380CC4-5D6E-409C-BE32-E72D297353CC}">
              <c16:uniqueId val="{00000000-2818-46D2-BEDB-22055906BB39}"/>
            </c:ext>
          </c:extLst>
        </c:ser>
        <c:dLbls>
          <c:dLblPos val="outEnd"/>
          <c:showLegendKey val="0"/>
          <c:showVal val="1"/>
          <c:showCatName val="0"/>
          <c:showSerName val="0"/>
          <c:showPercent val="0"/>
          <c:showBubbleSize val="0"/>
        </c:dLbls>
        <c:gapWidth val="100"/>
        <c:overlap val="-24"/>
        <c:axId val="483106432"/>
        <c:axId val="483104768"/>
      </c:barChart>
      <c:catAx>
        <c:axId val="48310643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83104768"/>
        <c:crosses val="autoZero"/>
        <c:auto val="1"/>
        <c:lblAlgn val="ctr"/>
        <c:lblOffset val="100"/>
        <c:noMultiLvlLbl val="0"/>
      </c:catAx>
      <c:valAx>
        <c:axId val="483104768"/>
        <c:scaling>
          <c:orientation val="minMax"/>
        </c:scaling>
        <c:delete val="0"/>
        <c:axPos val="l"/>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83106432"/>
        <c:crosses val="autoZero"/>
        <c:crossBetween val="between"/>
      </c:valAx>
      <c:dTable>
        <c:showHorzBorder val="1"/>
        <c:showVertBorder val="1"/>
        <c:showOutline val="1"/>
        <c:showKeys val="1"/>
        <c:spPr>
          <a:noFill/>
          <a:ln w="9525">
            <a:solidFill>
              <a:schemeClr val="tx2">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2"/>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[Daily_Out_Standing.xlsx]PIVOT!PivotTable1</c:name>
    <c:fmtId val="2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DIffrence Rise</a:t>
            </a:r>
          </a:p>
        </c:rich>
      </c:tx>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pivotFmt>
      <c:pivotFmt>
        <c:idx val="1"/>
      </c:pivotFmt>
      <c:pivotFmt>
        <c:idx val="2"/>
        <c:dLbl>
          <c:idx val="0"/>
          <c:layout/>
          <c:dLblPos val="t"/>
          <c:showLegendKey val="0"/>
          <c:showVal val="1"/>
          <c:showCatName val="0"/>
          <c:showSerName val="0"/>
          <c:showPercent val="0"/>
          <c:showBubbleSize val="0"/>
          <c:extLst>
            <c:ext xmlns:c15="http://schemas.microsoft.com/office/drawing/2012/chart" uri="{CE6537A1-D6FC-4f65-9D91-7224C49458BB}">
              <c15:layout/>
            </c:ext>
          </c:extLst>
        </c:dLbl>
      </c:pivotFmt>
      <c:pivotFmt>
        <c:idx val="3"/>
        <c:spPr>
          <a:ln w="34925" cap="rnd">
            <a:solidFill>
              <a:schemeClr val="bg1">
                <a:alpha val="84000"/>
              </a:schemeClr>
            </a:solidFill>
          </a:ln>
          <a:effectLst>
            <a:glow rad="228600">
              <a:schemeClr val="accent1">
                <a:satMod val="175000"/>
                <a:alpha val="40000"/>
              </a:schemeClr>
            </a:glow>
            <a:softEdge rad="0"/>
          </a:effectLst>
        </c:spPr>
        <c:marker>
          <c:symbol val="circle"/>
          <c:size val="4"/>
          <c:spPr>
            <a:solidFill>
              <a:schemeClr val="accent1">
                <a:lumMod val="60000"/>
                <a:lumOff val="40000"/>
              </a:schemeClr>
            </a:solidFill>
            <a:ln>
              <a:noFill/>
            </a:ln>
            <a:effectLst>
              <a:glow rad="228600">
                <a:schemeClr val="accent1">
                  <a:satMod val="175000"/>
                  <a:alpha val="40000"/>
                </a:schemeClr>
              </a:glow>
              <a:softEdge rad="0"/>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lineChart>
        <c:grouping val="standard"/>
        <c:varyColors val="0"/>
        <c:ser>
          <c:idx val="0"/>
          <c:order val="0"/>
          <c:tx>
            <c:strRef>
              <c:f>PIVOT!$B$20</c:f>
              <c:strCache>
                <c:ptCount val="1"/>
                <c:pt idx="0">
                  <c:v>Total</c:v>
                </c:pt>
              </c:strCache>
            </c:strRef>
          </c:tx>
          <c:spPr>
            <a:ln w="34925" cap="rnd">
              <a:solidFill>
                <a:schemeClr val="bg1">
                  <a:alpha val="84000"/>
                </a:schemeClr>
              </a:solidFill>
            </a:ln>
            <a:effectLst>
              <a:glow rad="228600">
                <a:schemeClr val="accent1">
                  <a:satMod val="175000"/>
                  <a:alpha val="40000"/>
                </a:schemeClr>
              </a:glow>
              <a:softEdge rad="0"/>
            </a:effectLst>
          </c:spPr>
          <c:marker>
            <c:symbol val="circle"/>
            <c:size val="4"/>
            <c:spPr>
              <a:solidFill>
                <a:schemeClr val="accent1">
                  <a:lumMod val="60000"/>
                  <a:lumOff val="40000"/>
                </a:schemeClr>
              </a:solidFill>
              <a:ln>
                <a:noFill/>
              </a:ln>
              <a:effectLst>
                <a:glow rad="228600">
                  <a:schemeClr val="accent1">
                    <a:satMod val="175000"/>
                    <a:alpha val="40000"/>
                  </a:schemeClr>
                </a:glow>
                <a:softEdge rad="0"/>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trendline>
            <c:spPr>
              <a:ln w="25400" cap="rnd">
                <a:solidFill>
                  <a:schemeClr val="accent1">
                    <a:alpha val="50000"/>
                  </a:schemeClr>
                </a:solidFill>
              </a:ln>
              <a:effectLst/>
            </c:spPr>
            <c:trendlineType val="linear"/>
            <c:dispRSqr val="0"/>
            <c:dispEq val="0"/>
          </c:trendline>
          <c:trendline>
            <c:spPr>
              <a:ln w="25400" cap="rnd">
                <a:solidFill>
                  <a:schemeClr val="accent4">
                    <a:lumMod val="60000"/>
                    <a:lumOff val="40000"/>
                    <a:alpha val="50000"/>
                  </a:schemeClr>
                </a:solidFill>
              </a:ln>
              <a:effectLst/>
            </c:spPr>
            <c:trendlineType val="linear"/>
            <c:dispRSqr val="0"/>
            <c:dispEq val="0"/>
          </c:trendline>
          <c:errBars>
            <c:errDir val="y"/>
            <c:errBarType val="both"/>
            <c:errValType val="stdErr"/>
            <c:noEndCap val="0"/>
            <c:spPr>
              <a:noFill/>
              <a:ln w="9525">
                <a:solidFill>
                  <a:schemeClr val="lt1">
                    <a:lumMod val="50000"/>
                  </a:schemeClr>
                </a:solidFill>
                <a:round/>
              </a:ln>
              <a:effectLst/>
            </c:spPr>
          </c:errBars>
          <c:cat>
            <c:strRef>
              <c:f>PIVOT!$A$21:$A$25</c:f>
              <c:strCache>
                <c:ptCount val="4"/>
                <c:pt idx="0">
                  <c:v>12/05/2026</c:v>
                </c:pt>
                <c:pt idx="1">
                  <c:v>13/05/2026</c:v>
                </c:pt>
                <c:pt idx="2">
                  <c:v>15/05/2026</c:v>
                </c:pt>
                <c:pt idx="3">
                  <c:v>16/05/2026</c:v>
                </c:pt>
              </c:strCache>
            </c:strRef>
          </c:cat>
          <c:val>
            <c:numRef>
              <c:f>PIVOT!$B$21:$B$25</c:f>
              <c:numCache>
                <c:formatCode>"MK"#,##0.00_);[Red]\("MK"#,##0.00\)</c:formatCode>
                <c:ptCount val="4"/>
                <c:pt idx="0">
                  <c:v>0</c:v>
                </c:pt>
                <c:pt idx="1">
                  <c:v>502833</c:v>
                </c:pt>
                <c:pt idx="2">
                  <c:v>180656</c:v>
                </c:pt>
                <c:pt idx="3">
                  <c:v>309654</c:v>
                </c:pt>
              </c:numCache>
            </c:numRef>
          </c:val>
          <c:smooth val="1"/>
          <c:extLst>
            <c:ext xmlns:c16="http://schemas.microsoft.com/office/drawing/2014/chart" uri="{C3380CC4-5D6E-409C-BE32-E72D297353CC}">
              <c16:uniqueId val="{00000001-620C-4081-91B1-C08AD79DDA2D}"/>
            </c:ext>
          </c:extLst>
        </c:ser>
        <c:dLbls>
          <c:dLblPos val="t"/>
          <c:showLegendKey val="0"/>
          <c:showVal val="1"/>
          <c:showCatName val="0"/>
          <c:showSerName val="0"/>
          <c:showPercent val="0"/>
          <c:showBubbleSize val="0"/>
        </c:dLbls>
        <c:upDownBars>
          <c:gapWidth val="315"/>
          <c:upBars>
            <c:spPr>
              <a:solidFill>
                <a:schemeClr val="lt1">
                  <a:lumMod val="85000"/>
                </a:schemeClr>
              </a:solidFill>
              <a:ln w="9525">
                <a:solidFill>
                  <a:schemeClr val="dk1">
                    <a:lumMod val="50000"/>
                  </a:schemeClr>
                </a:solidFill>
                <a:round/>
              </a:ln>
              <a:effectLst/>
            </c:spPr>
          </c:upBars>
          <c:downBars>
            <c:spPr>
              <a:solidFill>
                <a:schemeClr val="dk1">
                  <a:lumMod val="50000"/>
                  <a:lumOff val="50000"/>
                </a:schemeClr>
              </a:solidFill>
              <a:ln w="9525">
                <a:solidFill>
                  <a:schemeClr val="dk1">
                    <a:lumMod val="75000"/>
                  </a:schemeClr>
                </a:solidFill>
                <a:round/>
              </a:ln>
              <a:effectLst/>
            </c:spPr>
          </c:downBars>
        </c:upDownBars>
        <c:marker val="1"/>
        <c:smooth val="0"/>
        <c:axId val="199646304"/>
        <c:axId val="199652128"/>
      </c:lineChart>
      <c:catAx>
        <c:axId val="19964630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9652128"/>
        <c:crosses val="autoZero"/>
        <c:auto val="1"/>
        <c:lblAlgn val="ctr"/>
        <c:lblOffset val="100"/>
        <c:noMultiLvlLbl val="0"/>
      </c:catAx>
      <c:valAx>
        <c:axId val="19965212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9646304"/>
        <c:crosses val="autoZero"/>
        <c:crossBetween val="between"/>
      </c:valAx>
      <c:dTable>
        <c:showHorzBorder val="1"/>
        <c:showVertBorder val="1"/>
        <c:showOutline val="1"/>
        <c:showKeys val="1"/>
        <c:spPr>
          <a:noFill/>
          <a:ln w="9525">
            <a:solidFill>
              <a:schemeClr val="dk1">
                <a:lumMod val="50000"/>
                <a:lumOff val="50000"/>
              </a:schemeClr>
            </a:solidFill>
          </a:ln>
          <a:effectLst/>
        </c:spPr>
        <c:txPr>
          <a:bodyPr rot="0" spcFirstLastPara="1" vertOverflow="ellipsis" vert="horz" wrap="square" anchor="ctr" anchorCtr="1"/>
          <a:lstStyle/>
          <a:p>
            <a:pPr rtl="0">
              <a:defRPr sz="900" b="0" i="0" u="none" strike="noStrike" kern="1200" baseline="0">
                <a:solidFill>
                  <a:schemeClr val="lt1">
                    <a:lumMod val="75000"/>
                  </a:schemeClr>
                </a:solidFill>
                <a:latin typeface="+mn-lt"/>
                <a:ea typeface="+mn-ea"/>
                <a:cs typeface="+mn-cs"/>
              </a:defRPr>
            </a:pPr>
            <a:endParaRPr lang="en-US"/>
          </a:p>
        </c:txPr>
      </c:dTable>
      <c:spPr>
        <a:noFill/>
        <a:ln>
          <a:solidFill>
            <a:schemeClr val="accent1">
              <a:shade val="50000"/>
            </a:schemeClr>
          </a:solid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9050" cap="flat" cmpd="sng" algn="ctr">
        <a:solidFill>
          <a:schemeClr val="tx1">
            <a:lumMod val="15000"/>
            <a:lumOff val="8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99000">
              <a:schemeClr val="tx1">
                <a:lumMod val="25000"/>
                <a:lumOff val="75000"/>
              </a:schemeClr>
            </a:gs>
            <a:gs pos="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15000"/>
                <a:lumOff val="85000"/>
              </a:schemeClr>
            </a:gs>
            <a:gs pos="0">
              <a:schemeClr val="tx1">
                <a:lumMod val="5000"/>
                <a:lumOff val="9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9525</xdr:colOff>
      <xdr:row>1</xdr:row>
      <xdr:rowOff>19051</xdr:rowOff>
    </xdr:from>
    <xdr:to>
      <xdr:col>8</xdr:col>
      <xdr:colOff>476250</xdr:colOff>
      <xdr:row>10</xdr:row>
      <xdr:rowOff>95251</xdr:rowOff>
    </xdr:to>
    <mc:AlternateContent xmlns:mc="http://schemas.openxmlformats.org/markup-compatibility/2006" xmlns:a14="http://schemas.microsoft.com/office/drawing/2010/main">
      <mc:Choice Requires="a14">
        <xdr:graphicFrame macro="">
          <xdr:nvGraphicFramePr>
            <xdr:cNvPr id="2" name="Day"/>
            <xdr:cNvGraphicFramePr/>
          </xdr:nvGraphicFramePr>
          <xdr:xfrm>
            <a:off x="0" y="0"/>
            <a:ext cx="0" cy="0"/>
          </xdr:xfrm>
          <a:graphic>
            <a:graphicData uri="http://schemas.microsoft.com/office/drawing/2010/slicer">
              <sle:slicer xmlns:sle="http://schemas.microsoft.com/office/drawing/2010/slicer" name="Day"/>
            </a:graphicData>
          </a:graphic>
        </xdr:graphicFrame>
      </mc:Choice>
      <mc:Fallback xmlns="">
        <xdr:sp macro="" textlink="">
          <xdr:nvSpPr>
            <xdr:cNvPr id="0" name=""/>
            <xdr:cNvSpPr>
              <a:spLocks noTextEdit="1"/>
            </xdr:cNvSpPr>
          </xdr:nvSpPr>
          <xdr:spPr>
            <a:xfrm>
              <a:off x="8423275" y="209551"/>
              <a:ext cx="1816100" cy="1790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214312</xdr:colOff>
      <xdr:row>0</xdr:row>
      <xdr:rowOff>152400</xdr:rowOff>
    </xdr:from>
    <xdr:to>
      <xdr:col>16</xdr:col>
      <xdr:colOff>554037</xdr:colOff>
      <xdr:row>15</xdr:row>
      <xdr:rowOff>38100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230187</xdr:colOff>
      <xdr:row>16</xdr:row>
      <xdr:rowOff>152400</xdr:rowOff>
    </xdr:from>
    <xdr:to>
      <xdr:col>16</xdr:col>
      <xdr:colOff>579437</xdr:colOff>
      <xdr:row>31</xdr:row>
      <xdr:rowOff>38100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738187</xdr:colOff>
      <xdr:row>25</xdr:row>
      <xdr:rowOff>17462</xdr:rowOff>
    </xdr:from>
    <xdr:to>
      <xdr:col>8</xdr:col>
      <xdr:colOff>500062</xdr:colOff>
      <xdr:row>39</xdr:row>
      <xdr:rowOff>93662</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428625</xdr:colOff>
      <xdr:row>1</xdr:row>
      <xdr:rowOff>142875</xdr:rowOff>
    </xdr:from>
    <xdr:to>
      <xdr:col>32</xdr:col>
      <xdr:colOff>428625</xdr:colOff>
      <xdr:row>36</xdr:row>
      <xdr:rowOff>0</xdr:rowOff>
    </xdr:to>
    <xdr:sp macro="" textlink="">
      <xdr:nvSpPr>
        <xdr:cNvPr id="6" name="Rounded Rectangle 5"/>
        <xdr:cNvSpPr/>
      </xdr:nvSpPr>
      <xdr:spPr>
        <a:xfrm>
          <a:off x="1031875" y="333375"/>
          <a:ext cx="18700750" cy="6524625"/>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349250</xdr:colOff>
      <xdr:row>5</xdr:row>
      <xdr:rowOff>139700</xdr:rowOff>
    </xdr:from>
    <xdr:to>
      <xdr:col>7</xdr:col>
      <xdr:colOff>358775</xdr:colOff>
      <xdr:row>16</xdr:row>
      <xdr:rowOff>82550</xdr:rowOff>
    </xdr:to>
    <xdr:sp macro="" textlink="">
      <xdr:nvSpPr>
        <xdr:cNvPr id="2" name="Rectangle 1"/>
        <xdr:cNvSpPr/>
      </xdr:nvSpPr>
      <xdr:spPr>
        <a:xfrm>
          <a:off x="2159000" y="1092200"/>
          <a:ext cx="2422525" cy="2038350"/>
        </a:xfrm>
        <a:prstGeom prst="rect">
          <a:avLst/>
        </a:prstGeom>
        <a:no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495300</xdr:colOff>
      <xdr:row>5</xdr:row>
      <xdr:rowOff>149225</xdr:rowOff>
    </xdr:from>
    <xdr:to>
      <xdr:col>15</xdr:col>
      <xdr:colOff>460375</xdr:colOff>
      <xdr:row>16</xdr:row>
      <xdr:rowOff>82550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281214</xdr:colOff>
      <xdr:row>17</xdr:row>
      <xdr:rowOff>82550</xdr:rowOff>
    </xdr:from>
    <xdr:to>
      <xdr:col>15</xdr:col>
      <xdr:colOff>320675</xdr:colOff>
      <xdr:row>31</xdr:row>
      <xdr:rowOff>149225</xdr:rowOff>
    </xdr:to>
    <xdr:sp macro="" textlink="">
      <xdr:nvSpPr>
        <xdr:cNvPr id="4" name="Rounded Rectangle 3"/>
        <xdr:cNvSpPr/>
      </xdr:nvSpPr>
      <xdr:spPr>
        <a:xfrm>
          <a:off x="2090964" y="3321050"/>
          <a:ext cx="7278461" cy="2733675"/>
        </a:xfrm>
        <a:prstGeom prst="roundRect">
          <a:avLst/>
        </a:prstGeom>
        <a:solidFill>
          <a:schemeClr val="tx1">
            <a:lumMod val="75000"/>
            <a:lumOff val="2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4</xdr:col>
      <xdr:colOff>34925</xdr:colOff>
      <xdr:row>6</xdr:row>
      <xdr:rowOff>63500</xdr:rowOff>
    </xdr:from>
    <xdr:to>
      <xdr:col>7</xdr:col>
      <xdr:colOff>22225</xdr:colOff>
      <xdr:row>15</xdr:row>
      <xdr:rowOff>139700</xdr:rowOff>
    </xdr:to>
    <mc:AlternateContent xmlns:mc="http://schemas.openxmlformats.org/markup-compatibility/2006">
      <mc:Choice xmlns:a14="http://schemas.microsoft.com/office/drawing/2010/main" Requires="a14">
        <xdr:graphicFrame macro="">
          <xdr:nvGraphicFramePr>
            <xdr:cNvPr id="5" name="Day 1"/>
            <xdr:cNvGraphicFramePr/>
          </xdr:nvGraphicFramePr>
          <xdr:xfrm>
            <a:off x="0" y="0"/>
            <a:ext cx="0" cy="0"/>
          </xdr:xfrm>
          <a:graphic>
            <a:graphicData uri="http://schemas.microsoft.com/office/drawing/2010/slicer">
              <sle:slicer xmlns:sle="http://schemas.microsoft.com/office/drawing/2010/slicer" name="Day 1"/>
            </a:graphicData>
          </a:graphic>
        </xdr:graphicFrame>
      </mc:Choice>
      <mc:Fallback>
        <xdr:sp macro="" textlink="">
          <xdr:nvSpPr>
            <xdr:cNvPr id="0" name=""/>
            <xdr:cNvSpPr>
              <a:spLocks noTextEdit="1"/>
            </xdr:cNvSpPr>
          </xdr:nvSpPr>
          <xdr:spPr>
            <a:xfrm>
              <a:off x="2447925" y="1206500"/>
              <a:ext cx="1797050" cy="1790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101601</xdr:colOff>
      <xdr:row>17</xdr:row>
      <xdr:rowOff>82550</xdr:rowOff>
    </xdr:from>
    <xdr:to>
      <xdr:col>14</xdr:col>
      <xdr:colOff>542925</xdr:colOff>
      <xdr:row>31</xdr:row>
      <xdr:rowOff>158750</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460374</xdr:colOff>
      <xdr:row>5</xdr:row>
      <xdr:rowOff>142875</xdr:rowOff>
    </xdr:from>
    <xdr:to>
      <xdr:col>31</xdr:col>
      <xdr:colOff>126999</xdr:colOff>
      <xdr:row>32</xdr:row>
      <xdr:rowOff>15875</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Bright paipila" refreshedDate="46160.621569560186" backgroundQuery="1" createdVersion="6" refreshedVersion="6" minRefreshableVersion="3" recordCount="0" supportSubquery="1" supportAdvancedDrill="1">
  <cacheSource type="external" connectionId="1"/>
  <cacheFields count="2">
    <cacheField name="[Measures].[Sum of Difference_Outstanding]" caption="Sum of Difference_Outstanding" numFmtId="0" hierarchy="12" level="32767"/>
    <cacheField name="[Table1].[Day].[Day]" caption="Day" numFmtId="0" hierarchy="1" level="1">
      <sharedItems containsSemiMixedTypes="0" containsNonDate="0" containsDate="1" containsString="0" minDate="2026-05-12T00:00:00" maxDate="2026-05-17T00:00:00" count="4">
        <d v="2026-05-12T00:00:00"/>
        <d v="2026-05-13T00:00:00"/>
        <d v="2026-05-15T00:00:00"/>
        <d v="2026-05-16T00:00:00"/>
      </sharedItems>
    </cacheField>
  </cacheFields>
  <cacheHierarchies count="14">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fieldsUsage count="2">
        <fieldUsage x="-1"/>
        <fieldUsage x="1"/>
      </fieldsUsage>
    </cacheHierarchy>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0" memberValueDatatype="20" unbalanced="0"/>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Bright paipila" refreshedDate="46160.621570833333" backgroundQuery="1" createdVersion="6" refreshedVersion="6" minRefreshableVersion="3" recordCount="0" supportSubquery="1" supportAdvancedDrill="1">
  <cacheSource type="external" connectionId="1"/>
  <cacheFields count="5">
    <cacheField name="[Table1].[Db id].[Db id]" caption="Db id" numFmtId="0" level="1">
      <sharedItems containsSemiMixedTypes="0" containsString="0" containsNumber="1" containsInteger="1" minValue="1" maxValue="5" count="4">
        <n v="1"/>
        <n v="2"/>
        <n v="4"/>
        <n v="5"/>
      </sharedItems>
      <extLst>
        <ext xmlns:x15="http://schemas.microsoft.com/office/spreadsheetml/2010/11/main" uri="{4F2E5C28-24EA-4eb8-9CBF-B6C8F9C3D259}">
          <x15:cachedUniqueNames>
            <x15:cachedUniqueName index="0" name="[Table1].[Db id].&amp;[1]"/>
            <x15:cachedUniqueName index="1" name="[Table1].[Db id].&amp;[2]"/>
            <x15:cachedUniqueName index="2" name="[Table1].[Db id].&amp;[4]"/>
            <x15:cachedUniqueName index="3" name="[Table1].[Db id].&amp;[5]"/>
          </x15:cachedUniqueNames>
        </ext>
      </extLst>
    </cacheField>
    <cacheField name="[Measures].[Sum of Outstanding]" caption="Sum of Outstanding" numFmtId="0" hierarchy="11" level="32767"/>
    <cacheField name="[Measures].[Sum of Difference_Outstanding]" caption="Sum of Difference_Outstanding" numFmtId="0" hierarchy="12" level="32767"/>
    <cacheField name="[Measures].[Sum of Difference_Rise]" caption="Sum of Difference_Rise" numFmtId="0" hierarchy="13" level="32767"/>
    <cacheField name="[Table1].[Day].[Day]" caption="Day" numFmtId="0" hierarchy="1" level="1">
      <sharedItems containsSemiMixedTypes="0" containsNonDate="0" containsString="0"/>
    </cacheField>
  </cacheFields>
  <cacheHierarchies count="14">
    <cacheHierarchy uniqueName="[Table1].[Db id]" caption="Db id" attribute="1" defaultMemberUniqueName="[Table1].[Db id].[All]" allUniqueName="[Table1].[Db id].[All]" dimensionUniqueName="[Table1]" displayFolder="" count="2" memberValueDatatype="20" unbalanced="0">
      <fieldsUsage count="2">
        <fieldUsage x="-1"/>
        <fieldUsage x="0"/>
      </fieldsUsage>
    </cacheHierarchy>
    <cacheHierarchy uniqueName="[Table1].[Day]" caption="Day" attribute="1" time="1" defaultMemberUniqueName="[Table1].[Day].[All]" allUniqueName="[Table1].[Day].[All]" dimensionUniqueName="[Table1]" displayFolder="" count="2" memberValueDatatype="7" unbalanced="0">
      <fieldsUsage count="2">
        <fieldUsage x="-1"/>
        <fieldUsage x="4"/>
      </fieldsUsage>
    </cacheHierarchy>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0" memberValueDatatype="20" unbalanced="0"/>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oneField="1" hidden="1">
      <fieldsUsage count="1">
        <fieldUsage x="3"/>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Bright paipila" refreshedDate="46160.621572453703" backgroundQuery="1" createdVersion="6" refreshedVersion="6" minRefreshableVersion="3" recordCount="0" supportSubquery="1" supportAdvancedDrill="1">
  <cacheSource type="external" connectionId="1"/>
  <cacheFields count="3">
    <cacheField name="[Table1].[Outstanding].[Outstanding]" caption="Outstanding" numFmtId="0" hierarchy="3" level="1">
      <sharedItems containsSemiMixedTypes="0" containsNonDate="0" containsString="0" containsNumber="1" containsInteger="1" count="4">
        <n v="113539479"/>
        <n v="113036646"/>
        <n v="112353157"/>
        <n v="111353158"/>
      </sharedItems>
      <extLst>
        <ext xmlns:x15="http://schemas.microsoft.com/office/spreadsheetml/2010/11/main" uri="{4F2E5C28-24EA-4eb8-9CBF-B6C8F9C3D259}">
          <x15:cachedUniqueNames>
            <x15:cachedUniqueName index="0" name="[Table1].[Outstanding].&amp;[113539479]"/>
            <x15:cachedUniqueName index="1" name="[Table1].[Outstanding].&amp;[113036646]"/>
            <x15:cachedUniqueName index="2" name="[Table1].[Outstanding].&amp;[112353157]"/>
            <x15:cachedUniqueName index="3" name="[Table1].[Outstanding].&amp;[111353158]"/>
          </x15:cachedUniqueNames>
        </ext>
      </extLst>
    </cacheField>
    <cacheField name="[Table1].[Day].[Day]" caption="Day" numFmtId="0" hierarchy="1" level="1">
      <sharedItems containsSemiMixedTypes="0" containsNonDate="0" containsDate="1" containsString="0" minDate="2026-05-12T00:00:00" maxDate="2026-05-17T00:00:00" count="4">
        <d v="2026-05-12T00:00:00"/>
        <d v="2026-05-13T00:00:00"/>
        <d v="2026-05-15T00:00:00"/>
        <d v="2026-05-16T00:00:00"/>
      </sharedItems>
    </cacheField>
    <cacheField name="[Measures].[Sum of Difference_Rise]" caption="Sum of Difference_Rise" numFmtId="0" hierarchy="13" level="32767"/>
  </cacheFields>
  <cacheHierarchies count="14">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fieldsUsage count="2">
        <fieldUsage x="-1"/>
        <fieldUsage x="1"/>
      </fieldsUsage>
    </cacheHierarchy>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2" memberValueDatatype="20" unbalanced="0">
      <fieldsUsage count="2">
        <fieldUsage x="-1"/>
        <fieldUsage x="0"/>
      </fieldsUsage>
    </cacheHierarchy>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hidden="1">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oneField="1" hidden="1">
      <fieldsUsage count="1">
        <fieldUsage x="2"/>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Bright paipila" refreshedDate="46160.62157372685" backgroundQuery="1" createdVersion="6" refreshedVersion="6" minRefreshableVersion="3" recordCount="0" supportSubquery="1" supportAdvancedDrill="1">
  <cacheSource type="external" connectionId="1"/>
  <cacheFields count="3">
    <cacheField name="[Measures].[Sum of Difference_Outstanding]" caption="Sum of Difference_Outstanding" numFmtId="0" hierarchy="12" level="32767"/>
    <cacheField name="[Table1].[Outstanding].[Outstanding]" caption="Outstanding" numFmtId="0" hierarchy="3" level="1">
      <sharedItems containsSemiMixedTypes="0" containsNonDate="0" containsString="0" containsNumber="1" containsInteger="1" count="4">
        <n v="113539479"/>
        <n v="113036646"/>
        <n v="112353157"/>
        <n v="111353158"/>
      </sharedItems>
      <extLst>
        <ext xmlns:x15="http://schemas.microsoft.com/office/spreadsheetml/2010/11/main" uri="{4F2E5C28-24EA-4eb8-9CBF-B6C8F9C3D259}">
          <x15:cachedUniqueNames>
            <x15:cachedUniqueName index="0" name="[Table1].[Outstanding].&amp;[113539479]"/>
            <x15:cachedUniqueName index="1" name="[Table1].[Outstanding].&amp;[113036646]"/>
            <x15:cachedUniqueName index="2" name="[Table1].[Outstanding].&amp;[112353157]"/>
            <x15:cachedUniqueName index="3" name="[Table1].[Outstanding].&amp;[111353158]"/>
          </x15:cachedUniqueNames>
        </ext>
      </extLst>
    </cacheField>
    <cacheField name="[Table1].[Day].[Day]" caption="Day" numFmtId="0" hierarchy="1" level="1">
      <sharedItems containsSemiMixedTypes="0" containsNonDate="0" containsDate="1" containsString="0" minDate="2026-05-12T00:00:00" maxDate="2026-05-17T00:00:00" count="4">
        <d v="2026-05-12T00:00:00"/>
        <d v="2026-05-13T00:00:00"/>
        <d v="2026-05-15T00:00:00"/>
        <d v="2026-05-16T00:00:00"/>
      </sharedItems>
    </cacheField>
  </cacheFields>
  <cacheHierarchies count="14">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fieldsUsage count="2">
        <fieldUsage x="-1"/>
        <fieldUsage x="2"/>
      </fieldsUsage>
    </cacheHierarchy>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2" memberValueDatatype="20" unbalanced="0">
      <fieldsUsage count="2">
        <fieldUsage x="-1"/>
        <fieldUsage x="1"/>
      </fieldsUsage>
    </cacheHierarchy>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Bright paipila" refreshedDate="46160.621568518516" backgroundQuery="1" createdVersion="3" refreshedVersion="6" minRefreshableVersion="3" recordCount="0" supportSubquery="1" supportAdvancedDrill="1">
  <cacheSource type="external" connectionId="1">
    <extLst>
      <ext xmlns:x14="http://schemas.microsoft.com/office/spreadsheetml/2009/9/main" uri="{F057638F-6D5F-4e77-A914-E7F072B9BCA8}">
        <x14:sourceConnection name="ThisWorkbookDataModel"/>
      </ext>
    </extLst>
  </cacheSource>
  <cacheFields count="0"/>
  <cacheHierarchies count="14">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0" memberValueDatatype="20" unbalanced="0"/>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hidden="1">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hidden="1">
      <extLst>
        <ext xmlns:x15="http://schemas.microsoft.com/office/spreadsheetml/2010/11/main" uri="{B97F6D7D-B522-45F9-BDA1-12C45D357490}">
          <x15:cacheHierarchy aggregatedColumn="5"/>
        </ext>
      </extLst>
    </cacheHierarchy>
  </cacheHierarchies>
  <kpis count="0"/>
  <extLst>
    <ext xmlns:x14="http://schemas.microsoft.com/office/spreadsheetml/2009/9/main" uri="{725AE2AE-9491-48be-B2B4-4EB974FC3084}">
      <x14:pivotCacheDefinition slicerData="1" pivotCacheId="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Table1" cacheId="208"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24">
  <location ref="A20:B25" firstHeaderRow="1" firstDataRow="1" firstDataCol="1"/>
  <pivotFields count="3">
    <pivotField axis="axisRow" allDrilled="1" showAll="0" dataSourceSort="1" defaultAttributeDrillState="1">
      <items count="5">
        <item x="0"/>
        <item x="1"/>
        <item x="2"/>
        <item x="3"/>
        <item t="default"/>
      </items>
    </pivotField>
    <pivotField axis="axisRow" allDrilled="1" showAll="0" dataSourceSort="1">
      <items count="5">
        <item x="0" e="0"/>
        <item x="1" e="0"/>
        <item x="2" e="0"/>
        <item x="3" e="0"/>
        <item t="default"/>
      </items>
    </pivotField>
    <pivotField dataField="1" showAll="0"/>
  </pivotFields>
  <rowFields count="2">
    <field x="1"/>
    <field x="0"/>
  </rowFields>
  <rowItems count="5">
    <i>
      <x/>
    </i>
    <i>
      <x v="1"/>
    </i>
    <i>
      <x v="2"/>
    </i>
    <i>
      <x v="3"/>
    </i>
    <i t="grand">
      <x/>
    </i>
  </rowItems>
  <colItems count="1">
    <i/>
  </colItems>
  <dataFields count="1">
    <dataField name="Sum of Difference_Rise" fld="2" baseField="0" baseItem="0" numFmtId="8"/>
  </dataFields>
  <chartFormats count="4">
    <chartFormat chart="20"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3" format="3" series="1">
      <pivotArea type="data" outline="0" fieldPosition="0">
        <references count="1">
          <reference field="4294967294" count="1" selected="0">
            <x v="0"/>
          </reference>
        </references>
      </pivotArea>
    </chartFormat>
  </chartFormats>
  <pivotHierarchies count="14">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pivotTables/pivotTable2.xml><?xml version="1.0" encoding="utf-8"?>
<pivotTableDefinition xmlns="http://schemas.openxmlformats.org/spreadsheetml/2006/main" name="PivotTable3" cacheId="2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7">
  <location ref="A10:B15" firstHeaderRow="1" firstDataRow="1" firstDataCol="1"/>
  <pivotFields count="3">
    <pivotField dataField="1" showAll="0"/>
    <pivotField axis="axisRow" allDrilled="1" showAll="0" dataSourceSort="1" defaultAttributeDrillState="1">
      <items count="5">
        <item x="0"/>
        <item x="1"/>
        <item x="2"/>
        <item x="3"/>
        <item t="default"/>
      </items>
    </pivotField>
    <pivotField axis="axisRow" allDrilled="1" showAll="0" dataSourceSort="1">
      <items count="5">
        <item x="0" e="0"/>
        <item x="1" e="0"/>
        <item x="2" e="0"/>
        <item x="3" e="0"/>
        <item t="default"/>
      </items>
    </pivotField>
  </pivotFields>
  <rowFields count="2">
    <field x="2"/>
    <field x="1"/>
  </rowFields>
  <rowItems count="5">
    <i>
      <x/>
    </i>
    <i>
      <x v="1"/>
    </i>
    <i>
      <x v="2"/>
    </i>
    <i>
      <x v="3"/>
    </i>
    <i t="grand">
      <x/>
    </i>
  </rowItems>
  <colItems count="1">
    <i/>
  </colItems>
  <dataFields count="1">
    <dataField name="Sum of Difference_Outstanding" fld="0" baseField="0" baseItem="0" numFmtId="8"/>
  </dataFields>
  <chartFormats count="3">
    <chartFormat chart="13"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 chart="16" format="5">
      <pivotArea type="data" outline="0" fieldPosition="0">
        <references count="2">
          <reference field="4294967294" count="1" selected="0">
            <x v="0"/>
          </reference>
          <reference field="2" count="1" selected="0">
            <x v="3"/>
          </reference>
        </references>
      </pivotArea>
    </chartFormat>
  </chartFormats>
  <pivotHierarchies count="14">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pivotTables/pivotTable3.xml><?xml version="1.0" encoding="utf-8"?>
<pivotTableDefinition xmlns="http://schemas.openxmlformats.org/spreadsheetml/2006/main" name="PivotTable4" cacheId="202"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22">
  <location ref="D10:E15" firstHeaderRow="1" firstDataRow="1" firstDataCol="1"/>
  <pivotFields count="2">
    <pivotField dataField="1" showAll="0"/>
    <pivotField axis="axisRow" allDrilled="1" showAll="0" dataSourceSort="1" defaultAttributeDrillState="1">
      <items count="5">
        <item x="0"/>
        <item x="1"/>
        <item x="2"/>
        <item x="3"/>
        <item t="default"/>
      </items>
    </pivotField>
  </pivotFields>
  <rowFields count="1">
    <field x="1"/>
  </rowFields>
  <rowItems count="5">
    <i>
      <x/>
    </i>
    <i>
      <x v="1"/>
    </i>
    <i>
      <x v="2"/>
    </i>
    <i>
      <x v="3"/>
    </i>
    <i t="grand">
      <x/>
    </i>
  </rowItems>
  <colItems count="1">
    <i/>
  </colItems>
  <dataFields count="1">
    <dataField name="Sum of Difference_Outstanding" fld="0" baseField="0" baseItem="0" numFmtId="8"/>
  </dataFields>
  <chartFormats count="3">
    <chartFormat chart="15" format="0"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s>
  <pivotHierarchies count="14">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pivotTables/pivotTable4.xml><?xml version="1.0" encoding="utf-8"?>
<pivotTableDefinition xmlns="http://schemas.openxmlformats.org/spreadsheetml/2006/main" name="PivotTable2" cacheId="20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2:D7" firstHeaderRow="0" firstDataRow="1" firstDataCol="1"/>
  <pivotFields count="5">
    <pivotField axis="axisRow" allDrilled="1" showAll="0" dataSourceSort="1" defaultAttributeDrillState="1">
      <items count="5">
        <item x="0"/>
        <item x="1"/>
        <item x="2"/>
        <item x="3"/>
        <item t="default"/>
      </items>
    </pivotField>
    <pivotField dataField="1" showAll="0"/>
    <pivotField dataField="1" showAll="0"/>
    <pivotField dataField="1" showAll="0"/>
    <pivotField allDrilled="1" showAll="0" dataSourceSort="1" defaultAttributeDrillState="1"/>
  </pivotFields>
  <rowFields count="1">
    <field x="0"/>
  </rowFields>
  <rowItems count="5">
    <i>
      <x/>
    </i>
    <i>
      <x v="1"/>
    </i>
    <i>
      <x v="2"/>
    </i>
    <i>
      <x v="3"/>
    </i>
    <i t="grand">
      <x/>
    </i>
  </rowItems>
  <colFields count="1">
    <field x="-2"/>
  </colFields>
  <colItems count="3">
    <i>
      <x/>
    </i>
    <i i="1">
      <x v="1"/>
    </i>
    <i i="2">
      <x v="2"/>
    </i>
  </colItems>
  <dataFields count="3">
    <dataField name="Sum of Outstanding" fld="1" baseField="0" baseItem="0"/>
    <dataField name="Sum of Difference_Outstanding" fld="2" baseField="0" baseItem="0"/>
    <dataField name="Sum of Difference_Rise" fld="3" baseField="0" baseItem="0"/>
  </dataFields>
  <pivotHierarchies count="14">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ay" sourceName="[Table1].[Day]">
  <pivotTables>
    <pivotTable tabId="3" name="PivotTable3"/>
    <pivotTable tabId="3" name="PivotTable4"/>
    <pivotTable tabId="3" name="PivotTable2"/>
    <pivotTable tabId="3" name="PivotTable1"/>
  </pivotTables>
  <data>
    <olap pivotCacheId="9">
      <levels count="2">
        <level uniqueName="[Table1].[Day].[(All)]" sourceCaption="(All)" count="0"/>
        <level uniqueName="[Table1].[Day].[Day]" sourceCaption="Day" count="5">
          <ranges>
            <range startItem="0">
              <i n="[Table1].[Day].&amp;[2026-05-12T00:00:00]" c="12/05/2026"/>
              <i n="[Table1].[Day].&amp;[2026-05-13T00:00:00]" c="13/05/2026"/>
              <i n="[Table1].[Day].&amp;[2026-05-15T00:00:00]" c="15/05/2026"/>
              <i n="[Table1].[Day].&amp;[2026-05-16T00:00:00]" c="16/05/2026"/>
              <i n="[Table1].[Day].&amp;[2026-05-14T00:00:00]" c="14/05/2026" nd="1"/>
            </range>
          </ranges>
        </level>
      </levels>
      <selections count="1">
        <selection n="[Table1].[Da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ay" cache="Slicer_Day" caption="Day" level="1"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Day 1" cache="Slicer_Day" caption="Day" level="1" style="SlicerStyleDark5" rowHeight="241300"/>
</slicers>
</file>

<file path=xl/tables/table1.xml><?xml version="1.0" encoding="utf-8"?>
<table xmlns="http://schemas.openxmlformats.org/spreadsheetml/2006/main" id="1" name="Table1" displayName="Table1" ref="A1:F6" totalsRowShown="0" headerRowDxfId="10" dataDxfId="9">
  <autoFilter ref="A1:F6"/>
  <tableColumns count="6">
    <tableColumn id="1" name="Db id" dataDxfId="8"/>
    <tableColumn id="22" name="Day" dataDxfId="7"/>
    <tableColumn id="3" name="Sales product" dataDxfId="3"/>
    <tableColumn id="2" name="Outstanding" dataDxfId="1"/>
    <tableColumn id="31" name="Difference_Outstanding" dataDxfId="2"/>
    <tableColumn id="5" name="Difference_Rise" dataDxfId="0"/>
  </tableColumns>
  <tableStyleInfo name="TableStyleMedium2" showFirstColumn="0" showLastColumn="0" showRowStripes="1" showColumnStripes="0"/>
</table>
</file>

<file path=xl/tables/table2.xml><?xml version="1.0" encoding="utf-8"?>
<table xmlns="http://schemas.openxmlformats.org/spreadsheetml/2006/main" id="3" name="Table3" displayName="Table3" ref="A1:C5" totalsRowShown="0">
  <autoFilter ref="A1:C5"/>
  <tableColumns count="3">
    <tableColumn id="1" name="ID" dataDxfId="6">
      <calculatedColumnFormula>ROW()-ROW(Table1[#Headers])</calculatedColumnFormula>
    </tableColumn>
    <tableColumn id="2" name="Day" dataDxfId="5"/>
    <tableColumn id="3" name="Collected" dataDxfId="4"/>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
  <sheetViews>
    <sheetView workbookViewId="0">
      <selection activeCell="F7" sqref="F7"/>
    </sheetView>
  </sheetViews>
  <sheetFormatPr defaultColWidth="29.7109375" defaultRowHeight="15" x14ac:dyDescent="0.25"/>
  <cols>
    <col min="1" max="3" width="29.7109375" style="1"/>
    <col min="4" max="5" width="29.7109375" style="3"/>
    <col min="6" max="6" width="33.85546875" style="1" customWidth="1"/>
    <col min="7" max="16384" width="29.7109375" style="1"/>
  </cols>
  <sheetData>
    <row r="1" spans="1:6" x14ac:dyDescent="0.25">
      <c r="A1" s="1" t="s">
        <v>0</v>
      </c>
      <c r="B1" s="1" t="s">
        <v>3</v>
      </c>
      <c r="C1" s="1" t="s">
        <v>1</v>
      </c>
      <c r="D1" s="3" t="s">
        <v>5</v>
      </c>
      <c r="E1" s="3" t="s">
        <v>4</v>
      </c>
      <c r="F1" s="3" t="s">
        <v>12</v>
      </c>
    </row>
    <row r="2" spans="1:6" x14ac:dyDescent="0.25">
      <c r="A2" s="1">
        <f>ROW()-ROW(Table1[#Headers])</f>
        <v>1</v>
      </c>
      <c r="B2" s="2">
        <v>46154</v>
      </c>
      <c r="C2" s="1" t="s">
        <v>2</v>
      </c>
      <c r="D2" s="3">
        <v>113539479</v>
      </c>
      <c r="E2" s="3">
        <f ca="1">IFERROR(OFFSET(Table1[[#This Row],[Outstanding]],-1,0) - Table1[[#This Row],[Outstanding]], 0)</f>
        <v>0</v>
      </c>
      <c r="F2" s="3">
        <v>0</v>
      </c>
    </row>
    <row r="3" spans="1:6" x14ac:dyDescent="0.25">
      <c r="A3" s="1">
        <f>ROW()-ROW(Table1[#Headers])</f>
        <v>2</v>
      </c>
      <c r="B3" s="2">
        <v>46155</v>
      </c>
      <c r="C3" s="1" t="s">
        <v>2</v>
      </c>
      <c r="D3" s="3">
        <v>113036646</v>
      </c>
      <c r="E3" s="3">
        <f ca="1">IFERROR(OFFSET(Table1[[#This Row],[Outstanding]],-1,0) - Table1[[#This Row],[Outstanding]], 0)</f>
        <v>502833</v>
      </c>
      <c r="F3" s="3">
        <f ca="1">SUM(Table1[[#This Row],[Difference_Outstanding]]-E2)</f>
        <v>502833</v>
      </c>
    </row>
    <row r="4" spans="1:6" x14ac:dyDescent="0.25">
      <c r="A4" s="4">
        <f>ROW()-ROW(Table1[#Headers])</f>
        <v>3</v>
      </c>
      <c r="B4" s="5">
        <v>46156</v>
      </c>
      <c r="C4" s="1" t="s">
        <v>2</v>
      </c>
      <c r="D4" s="6"/>
      <c r="E4" s="6"/>
      <c r="F4" s="6"/>
    </row>
    <row r="5" spans="1:6" x14ac:dyDescent="0.25">
      <c r="A5" s="1">
        <f>ROW()-ROW(Table1[#Headers])</f>
        <v>4</v>
      </c>
      <c r="B5" s="2">
        <v>46157</v>
      </c>
      <c r="C5" s="1" t="s">
        <v>2</v>
      </c>
      <c r="D5" s="7">
        <v>112353157</v>
      </c>
      <c r="E5" s="3">
        <f>SUM(D3-Table1[[#This Row],[Outstanding]])</f>
        <v>683489</v>
      </c>
      <c r="F5" s="3">
        <f ca="1">SUM(Table1[[#This Row],[Difference_Outstanding]]-E3)</f>
        <v>180656</v>
      </c>
    </row>
    <row r="6" spans="1:6" x14ac:dyDescent="0.25">
      <c r="A6" s="1">
        <f>ROW()-ROW(Table1[#Headers])</f>
        <v>5</v>
      </c>
      <c r="B6" s="2">
        <v>46158</v>
      </c>
      <c r="C6" s="1" t="s">
        <v>2</v>
      </c>
      <c r="D6" s="7">
        <v>111360014</v>
      </c>
      <c r="E6" s="3">
        <f>SUM(D5-Table1[[#This Row],[Outstanding]])</f>
        <v>993143</v>
      </c>
      <c r="F6" s="3">
        <f>SUM(Table1[[#This Row],[Difference_Outstanding]]-E5)</f>
        <v>309654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workbookViewId="0">
      <selection activeCell="C5" sqref="C5"/>
    </sheetView>
  </sheetViews>
  <sheetFormatPr defaultRowHeight="15" x14ac:dyDescent="0.25"/>
  <cols>
    <col min="1" max="2" width="33" style="1" customWidth="1"/>
    <col min="3" max="3" width="33" style="3" customWidth="1"/>
    <col min="5" max="5" width="9.140625" customWidth="1"/>
  </cols>
  <sheetData>
    <row r="1" spans="1:3" x14ac:dyDescent="0.25">
      <c r="A1" s="1" t="s">
        <v>7</v>
      </c>
      <c r="B1" s="1" t="s">
        <v>3</v>
      </c>
      <c r="C1" s="3" t="s">
        <v>6</v>
      </c>
    </row>
    <row r="2" spans="1:3" x14ac:dyDescent="0.25">
      <c r="A2" s="1">
        <f>ROW()-ROW(Table1[#Headers])</f>
        <v>1</v>
      </c>
      <c r="B2" s="2">
        <v>46154</v>
      </c>
      <c r="C2" s="3">
        <v>331600</v>
      </c>
    </row>
    <row r="3" spans="1:3" x14ac:dyDescent="0.25">
      <c r="A3" s="1">
        <f>ROW()-ROW(Table1[#Headers])</f>
        <v>2</v>
      </c>
      <c r="B3" s="2">
        <v>46155</v>
      </c>
      <c r="C3" s="3">
        <v>213600</v>
      </c>
    </row>
    <row r="4" spans="1:3" x14ac:dyDescent="0.25">
      <c r="A4" s="4">
        <f>ROW()-ROW(Table1[#Headers])</f>
        <v>3</v>
      </c>
      <c r="B4" s="5">
        <v>46156</v>
      </c>
      <c r="C4" s="6"/>
    </row>
    <row r="5" spans="1:3" x14ac:dyDescent="0.25">
      <c r="A5" s="1">
        <f>ROW()-ROW(Table1[#Headers])</f>
        <v>4</v>
      </c>
      <c r="B5" s="2">
        <v>46157</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E25"/>
  <sheetViews>
    <sheetView zoomScale="60" zoomScaleNormal="60" workbookViewId="0">
      <selection activeCell="E10" sqref="E10"/>
    </sheetView>
  </sheetViews>
  <sheetFormatPr defaultRowHeight="15" x14ac:dyDescent="0.25"/>
  <cols>
    <col min="1" max="1" width="19.7109375" customWidth="1"/>
    <col min="2" max="3" width="41.28515625" customWidth="1"/>
    <col min="4" max="4" width="31.85546875" customWidth="1"/>
    <col min="5" max="5" width="41.28515625" bestFit="1" customWidth="1"/>
    <col min="6" max="6" width="10.7109375" bestFit="1" customWidth="1"/>
    <col min="7" max="7" width="11.28515625" bestFit="1" customWidth="1"/>
  </cols>
  <sheetData>
    <row r="2" spans="1:5" x14ac:dyDescent="0.25">
      <c r="A2" s="9" t="s">
        <v>8</v>
      </c>
      <c r="B2" t="s">
        <v>10</v>
      </c>
      <c r="C2" t="s">
        <v>11</v>
      </c>
      <c r="D2" t="s">
        <v>13</v>
      </c>
    </row>
    <row r="3" spans="1:5" x14ac:dyDescent="0.25">
      <c r="A3" s="10">
        <v>1</v>
      </c>
      <c r="B3" s="8">
        <v>113539479</v>
      </c>
      <c r="C3" s="8">
        <v>0</v>
      </c>
      <c r="D3" s="8">
        <v>0</v>
      </c>
    </row>
    <row r="4" spans="1:5" x14ac:dyDescent="0.25">
      <c r="A4" s="10">
        <v>2</v>
      </c>
      <c r="B4" s="8">
        <v>113036646</v>
      </c>
      <c r="C4" s="8">
        <v>502833</v>
      </c>
      <c r="D4" s="8">
        <v>502833</v>
      </c>
    </row>
    <row r="5" spans="1:5" x14ac:dyDescent="0.25">
      <c r="A5" s="10">
        <v>4</v>
      </c>
      <c r="B5" s="8">
        <v>112353157</v>
      </c>
      <c r="C5" s="8">
        <v>683489</v>
      </c>
      <c r="D5" s="8">
        <v>180656</v>
      </c>
    </row>
    <row r="6" spans="1:5" x14ac:dyDescent="0.25">
      <c r="A6" s="10">
        <v>5</v>
      </c>
      <c r="B6" s="8">
        <v>111360014</v>
      </c>
      <c r="C6" s="8">
        <v>993143</v>
      </c>
      <c r="D6" s="8">
        <v>309654</v>
      </c>
    </row>
    <row r="7" spans="1:5" x14ac:dyDescent="0.25">
      <c r="A7" s="10" t="s">
        <v>9</v>
      </c>
      <c r="B7" s="8">
        <v>450289296</v>
      </c>
      <c r="C7" s="8">
        <v>2179465</v>
      </c>
      <c r="D7" s="8">
        <v>993143</v>
      </c>
    </row>
    <row r="10" spans="1:5" x14ac:dyDescent="0.25">
      <c r="A10" s="9" t="s">
        <v>8</v>
      </c>
      <c r="B10" t="s">
        <v>11</v>
      </c>
      <c r="D10" s="9" t="s">
        <v>8</v>
      </c>
      <c r="E10" t="s">
        <v>11</v>
      </c>
    </row>
    <row r="11" spans="1:5" x14ac:dyDescent="0.25">
      <c r="A11" s="11">
        <v>46154</v>
      </c>
      <c r="B11" s="12">
        <v>0</v>
      </c>
      <c r="D11" s="11">
        <v>46154</v>
      </c>
      <c r="E11" s="12">
        <v>0</v>
      </c>
    </row>
    <row r="12" spans="1:5" x14ac:dyDescent="0.25">
      <c r="A12" s="11">
        <v>46155</v>
      </c>
      <c r="B12" s="12">
        <v>502833</v>
      </c>
      <c r="D12" s="11">
        <v>46155</v>
      </c>
      <c r="E12" s="12">
        <v>502833</v>
      </c>
    </row>
    <row r="13" spans="1:5" x14ac:dyDescent="0.25">
      <c r="A13" s="11">
        <v>46157</v>
      </c>
      <c r="B13" s="12">
        <v>683489</v>
      </c>
      <c r="D13" s="11">
        <v>46157</v>
      </c>
      <c r="E13" s="12">
        <v>683489</v>
      </c>
    </row>
    <row r="14" spans="1:5" x14ac:dyDescent="0.25">
      <c r="A14" s="11">
        <v>46158</v>
      </c>
      <c r="B14" s="12">
        <v>993143</v>
      </c>
      <c r="D14" s="11">
        <v>46158</v>
      </c>
      <c r="E14" s="12">
        <v>993143</v>
      </c>
    </row>
    <row r="15" spans="1:5" x14ac:dyDescent="0.25">
      <c r="A15" s="10" t="s">
        <v>9</v>
      </c>
      <c r="B15" s="12">
        <v>2179465</v>
      </c>
      <c r="D15" s="10" t="s">
        <v>9</v>
      </c>
      <c r="E15" s="12">
        <v>2179465</v>
      </c>
    </row>
    <row r="20" spans="1:2" x14ac:dyDescent="0.25">
      <c r="A20" s="9" t="s">
        <v>8</v>
      </c>
      <c r="B20" t="s">
        <v>13</v>
      </c>
    </row>
    <row r="21" spans="1:2" x14ac:dyDescent="0.25">
      <c r="A21" s="11">
        <v>46154</v>
      </c>
      <c r="B21" s="12">
        <v>0</v>
      </c>
    </row>
    <row r="22" spans="1:2" x14ac:dyDescent="0.25">
      <c r="A22" s="11">
        <v>46155</v>
      </c>
      <c r="B22" s="12">
        <v>502833</v>
      </c>
    </row>
    <row r="23" spans="1:2" x14ac:dyDescent="0.25">
      <c r="A23" s="11">
        <v>46157</v>
      </c>
      <c r="B23" s="12">
        <v>180656</v>
      </c>
    </row>
    <row r="24" spans="1:2" x14ac:dyDescent="0.25">
      <c r="A24" s="11">
        <v>46158</v>
      </c>
      <c r="B24" s="12">
        <v>309654</v>
      </c>
    </row>
    <row r="25" spans="1:2" x14ac:dyDescent="0.25">
      <c r="A25" s="10" t="s">
        <v>9</v>
      </c>
      <c r="B25" s="12">
        <v>993143</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zoomScale="60" zoomScaleNormal="60" workbookViewId="0">
      <selection activeCell="AH19" sqref="AH19"/>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Collected</vt:lpstr>
      <vt:lpstr>PIVOT</vt:lpstr>
      <vt:lpstr>DASH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Bright paipila</dc:creator>
  <cp:lastModifiedBy>Bright paipila</cp:lastModifiedBy>
  <dcterms:created xsi:type="dcterms:W3CDTF">2026-05-13T06:57:42Z</dcterms:created>
  <dcterms:modified xsi:type="dcterms:W3CDTF">2026-05-18T12:58:54Z</dcterms:modified>
</cp:coreProperties>
</file>